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1869AB-621C-43E4-95C0-C09EF6007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Model" sheetId="1" r:id="rId1"/>
    <sheet name="COMPS " sheetId="4" r:id="rId2"/>
    <sheet name="Data Sheet" sheetId="2" r:id="rId3"/>
    <sheet name="Comps" sheetId="3" state="hidden" r:id="rId4"/>
  </sheets>
  <externalReferences>
    <externalReference r:id="rId5"/>
  </externalReferences>
  <definedNames>
    <definedName name="Taper_rate" localSheetId="3">'[1]DCF Model'!$B$22</definedName>
    <definedName name="Taper_rate">'DCF Model'!$C$23</definedName>
    <definedName name="Tax_rate">'DCF Model'!$C$27</definedName>
    <definedName name="Tpaer_rate">'DCF Model'!$C$23</definedName>
    <definedName name="UPDATE" localSheetId="3">'[1]Historical Data'!#REF!</definedName>
    <definedName name="UPDATE" localSheetId="2">'Data Sheet'!$E$1</definedName>
    <definedName name="UP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2inrU9bkLJZLH0Rg38HBWPUpHkxlkWsqT4zqwCruQ8s="/>
    </ext>
  </extLst>
</workbook>
</file>

<file path=xl/calcChain.xml><?xml version="1.0" encoding="utf-8"?>
<calcChain xmlns="http://schemas.openxmlformats.org/spreadsheetml/2006/main">
  <c r="I88" i="2" l="1"/>
  <c r="J88" i="2"/>
  <c r="K88" i="2"/>
  <c r="I87" i="2"/>
  <c r="J87" i="2"/>
  <c r="K87" i="2"/>
  <c r="C126" i="1"/>
  <c r="B176" i="1"/>
  <c r="K35" i="4"/>
  <c r="J35" i="4"/>
  <c r="I35" i="4"/>
  <c r="G35" i="4"/>
  <c r="E35" i="4"/>
  <c r="F35" i="4"/>
  <c r="C35" i="4"/>
  <c r="K27" i="4"/>
  <c r="K28" i="4"/>
  <c r="K29" i="4"/>
  <c r="K30" i="4"/>
  <c r="J27" i="4"/>
  <c r="J28" i="4"/>
  <c r="J29" i="4"/>
  <c r="J30" i="4"/>
  <c r="I27" i="4"/>
  <c r="I28" i="4"/>
  <c r="I29" i="4"/>
  <c r="I30" i="4"/>
  <c r="G27" i="4"/>
  <c r="G28" i="4"/>
  <c r="G29" i="4"/>
  <c r="G30" i="4"/>
  <c r="F27" i="4"/>
  <c r="F28" i="4"/>
  <c r="F29" i="4"/>
  <c r="F30" i="4"/>
  <c r="E28" i="4"/>
  <c r="E29" i="4"/>
  <c r="E30" i="4"/>
  <c r="E27" i="4"/>
  <c r="C28" i="4"/>
  <c r="C29" i="4"/>
  <c r="C30" i="4"/>
  <c r="C27" i="4"/>
  <c r="C167" i="1"/>
  <c r="C165" i="1"/>
  <c r="C163" i="1"/>
  <c r="C133" i="1"/>
  <c r="C124" i="1"/>
  <c r="C26" i="1"/>
  <c r="C121" i="1"/>
  <c r="C117" i="1"/>
  <c r="C116" i="1"/>
  <c r="H15" i="4"/>
  <c r="H16" i="4"/>
  <c r="H17" i="4"/>
  <c r="H18" i="4"/>
  <c r="G15" i="4"/>
  <c r="G16" i="4"/>
  <c r="G17" i="4"/>
  <c r="G18" i="4"/>
  <c r="D15" i="4"/>
  <c r="D16" i="4"/>
  <c r="D17" i="4"/>
  <c r="D18" i="4"/>
  <c r="C15" i="4"/>
  <c r="C16" i="4"/>
  <c r="C17" i="4"/>
  <c r="C18" i="4"/>
  <c r="C98" i="1"/>
  <c r="D98" i="1"/>
  <c r="E98" i="1"/>
  <c r="F98" i="1"/>
  <c r="G98" i="1"/>
  <c r="C71" i="1"/>
  <c r="D71" i="1"/>
  <c r="E71" i="1"/>
  <c r="F71" i="1"/>
  <c r="G71" i="1"/>
  <c r="C33" i="1"/>
  <c r="D33" i="1"/>
  <c r="E33" i="1"/>
  <c r="F33" i="1"/>
  <c r="G33" i="1"/>
  <c r="B39" i="3"/>
  <c r="B22" i="3"/>
  <c r="B21" i="3"/>
  <c r="B20" i="3"/>
  <c r="B19" i="3"/>
  <c r="B6" i="2"/>
  <c r="E1" i="2"/>
  <c r="C92" i="1"/>
  <c r="D91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63" i="1"/>
  <c r="F63" i="1"/>
  <c r="E63" i="1"/>
  <c r="D63" i="1"/>
  <c r="C63" i="1"/>
  <c r="G57" i="1"/>
  <c r="F57" i="1"/>
  <c r="E57" i="1"/>
  <c r="D57" i="1"/>
  <c r="C57" i="1"/>
  <c r="G55" i="1"/>
  <c r="F55" i="1"/>
  <c r="E55" i="1"/>
  <c r="D55" i="1"/>
  <c r="C55" i="1"/>
  <c r="G49" i="1"/>
  <c r="F49" i="1"/>
  <c r="E49" i="1"/>
  <c r="D49" i="1"/>
  <c r="C49" i="1"/>
  <c r="G43" i="1"/>
  <c r="F43" i="1"/>
  <c r="E43" i="1"/>
  <c r="D43" i="1"/>
  <c r="C43" i="1"/>
  <c r="G37" i="1"/>
  <c r="F37" i="1"/>
  <c r="E37" i="1"/>
  <c r="D37" i="1"/>
  <c r="C37" i="1"/>
  <c r="G34" i="1"/>
  <c r="F34" i="1"/>
  <c r="E34" i="1"/>
  <c r="D34" i="1"/>
  <c r="C34" i="1"/>
  <c r="B177" i="1" l="1"/>
  <c r="B175" i="1"/>
  <c r="E40" i="4"/>
  <c r="N27" i="4"/>
  <c r="E39" i="4"/>
  <c r="H35" i="4"/>
  <c r="N29" i="4"/>
  <c r="N30" i="4"/>
  <c r="E38" i="4"/>
  <c r="D35" i="4"/>
  <c r="N28" i="4"/>
  <c r="G38" i="4"/>
  <c r="G40" i="4"/>
  <c r="N33" i="4"/>
  <c r="G39" i="4"/>
  <c r="N32" i="4"/>
  <c r="H27" i="4"/>
  <c r="H29" i="4"/>
  <c r="M29" i="4" s="1"/>
  <c r="D28" i="4"/>
  <c r="D29" i="4"/>
  <c r="H19" i="4"/>
  <c r="F15" i="4"/>
  <c r="F16" i="4"/>
  <c r="F17" i="4"/>
  <c r="F18" i="4"/>
  <c r="E15" i="4"/>
  <c r="E16" i="4"/>
  <c r="E17" i="4"/>
  <c r="E18" i="4"/>
  <c r="H28" i="4"/>
  <c r="H30" i="4"/>
  <c r="D27" i="4"/>
  <c r="D30" i="4"/>
  <c r="G20" i="4"/>
  <c r="H20" i="4"/>
  <c r="C162" i="1"/>
  <c r="C125" i="1"/>
  <c r="C50" i="1"/>
  <c r="D50" i="1"/>
  <c r="E50" i="1"/>
  <c r="F50" i="1"/>
  <c r="G50" i="1"/>
  <c r="C122" i="1"/>
  <c r="C94" i="1"/>
  <c r="G19" i="4"/>
  <c r="C93" i="1"/>
  <c r="C118" i="1"/>
  <c r="H35" i="1"/>
  <c r="D94" i="1"/>
  <c r="E84" i="1"/>
  <c r="F76" i="1"/>
  <c r="D76" i="1"/>
  <c r="G58" i="1"/>
  <c r="F44" i="1"/>
  <c r="C44" i="1"/>
  <c r="G40" i="1"/>
  <c r="C40" i="1"/>
  <c r="F38" i="1"/>
  <c r="C38" i="1"/>
  <c r="F35" i="1"/>
  <c r="E35" i="1"/>
  <c r="F84" i="1"/>
  <c r="C84" i="1"/>
  <c r="E76" i="1"/>
  <c r="E58" i="1"/>
  <c r="D58" i="1"/>
  <c r="G44" i="1"/>
  <c r="E40" i="1"/>
  <c r="G38" i="1"/>
  <c r="D38" i="1"/>
  <c r="G84" i="1"/>
  <c r="D84" i="1"/>
  <c r="G76" i="1"/>
  <c r="C76" i="1"/>
  <c r="F58" i="1"/>
  <c r="C58" i="1"/>
  <c r="E44" i="1"/>
  <c r="D44" i="1"/>
  <c r="F40" i="1"/>
  <c r="D40" i="1"/>
  <c r="E38" i="1"/>
  <c r="G35" i="1"/>
  <c r="D35" i="1"/>
  <c r="D92" i="1"/>
  <c r="E92" i="1" s="1"/>
  <c r="F92" i="1" s="1"/>
  <c r="G92" i="1" s="1"/>
  <c r="B178" i="1" l="1"/>
  <c r="B174" i="1"/>
  <c r="N35" i="4"/>
  <c r="L27" i="4"/>
  <c r="M27" i="4"/>
  <c r="L29" i="4"/>
  <c r="F19" i="4"/>
  <c r="F20" i="4"/>
  <c r="C113" i="1" s="1"/>
  <c r="C114" i="1" s="1"/>
  <c r="E19" i="4"/>
  <c r="E20" i="4"/>
  <c r="M28" i="4"/>
  <c r="L28" i="4"/>
  <c r="L30" i="4"/>
  <c r="M30" i="4"/>
  <c r="I16" i="4"/>
  <c r="I18" i="4"/>
  <c r="I15" i="4"/>
  <c r="I17" i="4"/>
  <c r="D93" i="1"/>
  <c r="E93" i="1" s="1"/>
  <c r="F93" i="1" s="1"/>
  <c r="G93" i="1" s="1"/>
  <c r="E94" i="1"/>
  <c r="F94" i="1" s="1"/>
  <c r="G94" i="1" s="1"/>
  <c r="C89" i="1" a="1"/>
  <c r="G46" i="1"/>
  <c r="G41" i="1"/>
  <c r="C41" i="1"/>
  <c r="C46" i="1"/>
  <c r="E46" i="1"/>
  <c r="E41" i="1"/>
  <c r="F41" i="1"/>
  <c r="F46" i="1"/>
  <c r="D41" i="1"/>
  <c r="D46" i="1"/>
  <c r="I20" i="4" l="1"/>
  <c r="C127" i="1" s="1"/>
  <c r="C128" i="1" s="1"/>
  <c r="L33" i="4"/>
  <c r="L32" i="4"/>
  <c r="L35" i="4" s="1"/>
  <c r="M33" i="4"/>
  <c r="M32" i="4"/>
  <c r="M35" i="4" s="1"/>
  <c r="I19" i="4"/>
  <c r="D89" i="1"/>
  <c r="G89" i="1"/>
  <c r="C89" i="1"/>
  <c r="C90" i="1" s="1"/>
  <c r="E89" i="1"/>
  <c r="F89" i="1"/>
  <c r="G47" i="1"/>
  <c r="C100" i="1" s="1"/>
  <c r="D100" i="1" s="1"/>
  <c r="E100" i="1" s="1"/>
  <c r="F100" i="1" s="1"/>
  <c r="G100" i="1" s="1"/>
  <c r="G52" i="1"/>
  <c r="K89" i="2" s="1"/>
  <c r="K90" i="2" s="1"/>
  <c r="C47" i="1"/>
  <c r="C52" i="1"/>
  <c r="E52" i="1"/>
  <c r="I89" i="2" s="1"/>
  <c r="I90" i="2" s="1"/>
  <c r="E47" i="1"/>
  <c r="F47" i="1"/>
  <c r="F52" i="1"/>
  <c r="J89" i="2" s="1"/>
  <c r="J90" i="2" s="1"/>
  <c r="D52" i="1"/>
  <c r="D47" i="1"/>
  <c r="C141" i="1" l="1"/>
  <c r="G141" i="1"/>
  <c r="D141" i="1"/>
  <c r="E141" i="1"/>
  <c r="F141" i="1"/>
  <c r="H141" i="1"/>
  <c r="F173" i="1"/>
  <c r="C38" i="4" a="1"/>
  <c r="D90" i="1"/>
  <c r="D99" i="1" s="1"/>
  <c r="C99" i="1"/>
  <c r="G60" i="1"/>
  <c r="G53" i="1"/>
  <c r="C53" i="1"/>
  <c r="C60" i="1"/>
  <c r="E53" i="1"/>
  <c r="E60" i="1"/>
  <c r="F53" i="1"/>
  <c r="F60" i="1"/>
  <c r="D60" i="1"/>
  <c r="D53" i="1"/>
  <c r="E173" i="1" l="1"/>
  <c r="D173" i="1" s="1"/>
  <c r="C173" i="1" s="1"/>
  <c r="G173" i="1"/>
  <c r="H173" i="1" s="1"/>
  <c r="D39" i="4"/>
  <c r="F39" i="4" s="1"/>
  <c r="H39" i="4" s="1"/>
  <c r="F40" i="4"/>
  <c r="D38" i="4"/>
  <c r="F38" i="4" s="1"/>
  <c r="H38" i="4" s="1"/>
  <c r="E90" i="1"/>
  <c r="D102" i="1"/>
  <c r="D101" i="1"/>
  <c r="C102" i="1"/>
  <c r="C101" i="1"/>
  <c r="G64" i="1"/>
  <c r="G66" i="1"/>
  <c r="G67" i="1" s="1"/>
  <c r="G61" i="1"/>
  <c r="C64" i="1"/>
  <c r="C61" i="1"/>
  <c r="C66" i="1"/>
  <c r="C67" i="1" s="1"/>
  <c r="E64" i="1"/>
  <c r="E61" i="1"/>
  <c r="E66" i="1"/>
  <c r="E67" i="1" s="1"/>
  <c r="F64" i="1"/>
  <c r="F66" i="1"/>
  <c r="F67" i="1" s="1"/>
  <c r="F61" i="1"/>
  <c r="D64" i="1"/>
  <c r="D61" i="1"/>
  <c r="D66" i="1"/>
  <c r="D67" i="1" s="1"/>
  <c r="D106" i="1" l="1"/>
  <c r="C106" i="1"/>
  <c r="D40" i="4"/>
  <c r="H40" i="4"/>
  <c r="D103" i="1"/>
  <c r="C103" i="1"/>
  <c r="F90" i="1"/>
  <c r="E99" i="1"/>
  <c r="D104" i="1" l="1"/>
  <c r="C104" i="1"/>
  <c r="G90" i="1"/>
  <c r="G99" i="1" s="1"/>
  <c r="F99" i="1"/>
  <c r="E101" i="1"/>
  <c r="E102" i="1"/>
  <c r="E106" i="1" l="1"/>
  <c r="D105" i="1"/>
  <c r="D107" i="1" s="1"/>
  <c r="E103" i="1"/>
  <c r="C105" i="1"/>
  <c r="C107" i="1" s="1"/>
  <c r="F101" i="1"/>
  <c r="F102" i="1"/>
  <c r="G101" i="1"/>
  <c r="G102" i="1"/>
  <c r="F106" i="1" l="1"/>
  <c r="G106" i="1"/>
  <c r="E104" i="1"/>
  <c r="C108" i="1"/>
  <c r="C140" i="1" s="1"/>
  <c r="C142" i="1" s="1"/>
  <c r="F103" i="1"/>
  <c r="G103" i="1"/>
  <c r="D108" i="1" l="1"/>
  <c r="D140" i="1" s="1"/>
  <c r="D142" i="1" s="1"/>
  <c r="E105" i="1"/>
  <c r="E107" i="1" s="1"/>
  <c r="G104" i="1"/>
  <c r="F104" i="1"/>
  <c r="G105" i="1" l="1"/>
  <c r="G107" i="1" s="1"/>
  <c r="F105" i="1"/>
  <c r="F107" i="1" s="1"/>
  <c r="E108" i="1" l="1"/>
  <c r="E140" i="1" s="1"/>
  <c r="E142" i="1" s="1"/>
  <c r="G108" i="1" l="1"/>
  <c r="F108" i="1"/>
  <c r="F140" i="1" s="1"/>
  <c r="F142" i="1" s="1"/>
  <c r="G140" i="1" l="1"/>
  <c r="G142" i="1" s="1"/>
  <c r="B148" i="1" s="1"/>
  <c r="C132" i="1"/>
  <c r="C135" i="1" s="1"/>
  <c r="H140" i="1" s="1"/>
  <c r="H142" i="1" s="1"/>
  <c r="B153" i="1" s="1"/>
  <c r="B158" i="1" l="1"/>
  <c r="C161" i="1" s="1"/>
  <c r="C164" i="1" s="1"/>
  <c r="C166" i="1" s="1"/>
  <c r="C168" i="1" l="1"/>
  <c r="B1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<sst xmlns="http://schemas.openxmlformats.org/spreadsheetml/2006/main" count="382" uniqueCount="263">
  <si>
    <t>DISCOUNTED CASH FLOW MODEL</t>
  </si>
  <si>
    <t>Financial Modelling Course</t>
  </si>
  <si>
    <t>Company Overview</t>
  </si>
  <si>
    <t>Key Assumptions &amp; Methodology</t>
  </si>
  <si>
    <t>Parameter</t>
  </si>
  <si>
    <t>Value</t>
  </si>
  <si>
    <t>Rationale</t>
  </si>
  <si>
    <t>Valuation Date</t>
  </si>
  <si>
    <t>Projection Period</t>
  </si>
  <si>
    <t>Revenue Growth%</t>
  </si>
  <si>
    <t>Based on management guidance</t>
  </si>
  <si>
    <t>Annual Growth Tapering</t>
  </si>
  <si>
    <t>Terminal Growth Rate</t>
  </si>
  <si>
    <t>Risk-Free Rate (Rf)</t>
  </si>
  <si>
    <t>Equity Risk Premium (ERP)</t>
  </si>
  <si>
    <t>Tax Rate</t>
  </si>
  <si>
    <t>Financial Performance (₹ Crores)</t>
  </si>
  <si>
    <t>INCOME STATEMENT</t>
  </si>
  <si>
    <t>Particulars</t>
  </si>
  <si>
    <t>CAGR</t>
  </si>
  <si>
    <t>Sales</t>
  </si>
  <si>
    <t>% growth</t>
  </si>
  <si>
    <t>Cost of Goods Sold</t>
  </si>
  <si>
    <t>% of revenue</t>
  </si>
  <si>
    <t>Gross Profit</t>
  </si>
  <si>
    <t>% margin</t>
  </si>
  <si>
    <t>Operating Expenses</t>
  </si>
  <si>
    <t>EBITDA</t>
  </si>
  <si>
    <t>Depreciation</t>
  </si>
  <si>
    <t>% of net block</t>
  </si>
  <si>
    <t>EBIT</t>
  </si>
  <si>
    <t>Other Income</t>
  </si>
  <si>
    <t>Interest</t>
  </si>
  <si>
    <t>% of debt</t>
  </si>
  <si>
    <t>Profit before tax</t>
  </si>
  <si>
    <t>Tax</t>
  </si>
  <si>
    <t>% of PBT</t>
  </si>
  <si>
    <t>Net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</si>
  <si>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</si>
  <si>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</si>
  <si>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</si>
  <si>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</si>
  <si>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</si>
  <si>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</si>
  <si>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</si>
  <si>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</si>
  <si>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</si>
  <si>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Receivables</t>
  </si>
  <si>
    <t>Inventory</t>
  </si>
  <si>
    <t>Cash &amp; Bank</t>
  </si>
  <si>
    <t>Other Assets</t>
  </si>
  <si>
    <t>Revenue Projections &amp; Growth Assumptions</t>
  </si>
  <si>
    <t>Year</t>
  </si>
  <si>
    <t>FY27E</t>
  </si>
  <si>
    <t>FY28E</t>
  </si>
  <si>
    <t>FY29E</t>
  </si>
  <si>
    <t>FY30E</t>
  </si>
  <si>
    <t>Revenue Growth %</t>
  </si>
  <si>
    <t>Revenue (in Crs.)</t>
  </si>
  <si>
    <t>Chosen Scenario:</t>
  </si>
  <si>
    <t>Base Case</t>
  </si>
  <si>
    <t>Best Case</t>
  </si>
  <si>
    <t>Worst Case</t>
  </si>
  <si>
    <t>Free Cash Flow Projections (₹ Crores)</t>
  </si>
  <si>
    <t>Revenue</t>
  </si>
  <si>
    <t>EBITDA Margin %</t>
  </si>
  <si>
    <t>Less: Depreciation</t>
  </si>
  <si>
    <t>Less: Tax</t>
  </si>
  <si>
    <t>NOPAT</t>
  </si>
  <si>
    <t>Add: Depreciation</t>
  </si>
  <si>
    <t>Less: Reinvestment</t>
  </si>
  <si>
    <t>Free Cash Flow to Firm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</si>
  <si>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</si>
  <si>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</si>
  <si>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</si>
  <si>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</si>
  <si>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</si>
  <si>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</si>
  <si>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</si>
  <si>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</si>
  <si>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</si>
  <si>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</si>
  <si>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</si>
  <si>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</si>
  <si>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</si>
  <si>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</si>
  <si>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</t>
  </si>
  <si>
    <t>WACC</t>
  </si>
  <si>
    <t>Terminal Value Calculation</t>
  </si>
  <si>
    <t>Terminal Growth Rate (g)</t>
  </si>
  <si>
    <t>Terminal Value = FCF × (1+g) / (WACC - g)</t>
  </si>
  <si>
    <t>Terminal Value</t>
  </si>
  <si>
    <t>Present Value Calculation</t>
  </si>
  <si>
    <t>FCF (₹ Cr)</t>
  </si>
  <si>
    <t>Discount Factor</t>
  </si>
  <si>
    <t>PV of FCF (₹ Cr)</t>
  </si>
  <si>
    <t>DCF Valuation Summary</t>
  </si>
  <si>
    <t>PV of Terminal Value</t>
  </si>
  <si>
    <t>Enterprise Value</t>
  </si>
  <si>
    <t>Less: Net Debt</t>
  </si>
  <si>
    <t>Add: Cash &amp; Investments</t>
  </si>
  <si>
    <t>Equity Value</t>
  </si>
  <si>
    <t>Shares Outstanding</t>
  </si>
  <si>
    <t>Fair Value per Share</t>
  </si>
  <si>
    <t>Current Market Price</t>
  </si>
  <si>
    <t>Upside/Downside</t>
  </si>
  <si>
    <t>Sensitivity Analysis</t>
  </si>
  <si>
    <t>Terminal Growth / WACC</t>
  </si>
  <si>
    <t>Key Risks &amp; Considerations</t>
  </si>
  <si>
    <t>Conclusion &amp; Recommendation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</si>
  <si>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</si>
  <si>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</si>
  <si>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</si>
  <si>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</si>
  <si>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</si>
  <si>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</si>
  <si>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</si>
  <si>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</si>
  <si>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</si>
  <si>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</si>
  <si>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</si>
  <si>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</si>
  <si>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</si>
  <si>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</si>
  <si>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</si>
  <si>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</si>
  <si>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</si>
  <si>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</si>
  <si>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</si>
  <si>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</si>
  <si>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</si>
  <si>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Expenses</t>
  </si>
  <si>
    <t>Operating Profit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</si>
  <si>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</si>
  <si>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</si>
  <si>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</si>
  <si>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</si>
  <si>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</si>
  <si>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</si>
  <si>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</si>
  <si>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</si>
  <si>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</si>
  <si>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</si>
  <si>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</si>
  <si>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COMPARABLE COMPANY ANALYSIS</t>
  </si>
  <si>
    <t>Comps Data</t>
  </si>
  <si>
    <t>Company</t>
  </si>
  <si>
    <t>Ticker</t>
  </si>
  <si>
    <t>Price</t>
  </si>
  <si>
    <t>Net Income</t>
  </si>
  <si>
    <t>Beta</t>
  </si>
  <si>
    <t>Cash &amp; Cash Equivalents</t>
  </si>
  <si>
    <t>EV/EBITDA</t>
  </si>
  <si>
    <t>P/E</t>
  </si>
  <si>
    <t>Trent Limited</t>
  </si>
  <si>
    <t>TRENT</t>
  </si>
  <si>
    <t>Avenue Supermarts (DMART)</t>
  </si>
  <si>
    <t>DMART</t>
  </si>
  <si>
    <t>Vishal Mega Mart</t>
  </si>
  <si>
    <t>VMM</t>
  </si>
  <si>
    <t>Aditya Birla Lifestyle Brands</t>
  </si>
  <si>
    <t>ABLBL</t>
  </si>
  <si>
    <t>Vedant Fashions (Manyavar)</t>
  </si>
  <si>
    <t>MANYAVAR</t>
  </si>
  <si>
    <t>Industry Beta</t>
  </si>
  <si>
    <t>Equity</t>
  </si>
  <si>
    <t xml:space="preserve">Total </t>
  </si>
  <si>
    <t>Debt/</t>
  </si>
  <si>
    <t>Levered</t>
  </si>
  <si>
    <t>Unlevered</t>
  </si>
  <si>
    <t>Company Name</t>
  </si>
  <si>
    <t>Debt</t>
  </si>
  <si>
    <t>Capital</t>
  </si>
  <si>
    <t>Rate %</t>
  </si>
  <si>
    <t>Average</t>
  </si>
  <si>
    <t>Median</t>
  </si>
  <si>
    <t>Comparable Companies Analysis</t>
  </si>
  <si>
    <t>Market Data</t>
  </si>
  <si>
    <t>Financial Data</t>
  </si>
  <si>
    <t>Valuation</t>
  </si>
  <si>
    <t>Shares</t>
  </si>
  <si>
    <t>Cash</t>
  </si>
  <si>
    <t>EV</t>
  </si>
  <si>
    <t>Earnings</t>
  </si>
  <si>
    <t>EV/Sales</t>
  </si>
  <si>
    <r>
      <rPr>
        <b/>
        <sz val="11"/>
        <color rgb="FFFFFFFF"/>
        <rFont val="Arial"/>
      </rPr>
      <t>(</t>
    </r>
    <r>
      <rPr>
        <sz val="12"/>
        <color theme="0"/>
        <rFont val="Calibri"/>
      </rPr>
      <t>₹</t>
    </r>
    <r>
      <rPr>
        <i/>
        <sz val="10"/>
        <color theme="0"/>
        <rFont val="Book Antiqua"/>
      </rPr>
      <t>/share)</t>
    </r>
  </si>
  <si>
    <t>M</t>
  </si>
  <si>
    <t>₹ MM</t>
  </si>
  <si>
    <t>&amp; Equivalents</t>
  </si>
  <si>
    <t>x</t>
  </si>
  <si>
    <t>Metric</t>
  </si>
  <si>
    <t>Comps</t>
  </si>
  <si>
    <t>Net Debt</t>
  </si>
  <si>
    <t>Share Price</t>
  </si>
  <si>
    <t>HUL DCF MODEL</t>
  </si>
  <si>
    <t>FY31E</t>
  </si>
  <si>
    <t>Name</t>
  </si>
  <si>
    <t>Debt Rs.Cr.</t>
  </si>
  <si>
    <t>Debt / Eq</t>
  </si>
  <si>
    <t>Sales Rs.Cr.</t>
  </si>
  <si>
    <t>EV / EBITDA</t>
  </si>
  <si>
    <t>Cash Rs.Cr.</t>
  </si>
  <si>
    <t>Hind. Unilever</t>
  </si>
  <si>
    <t>ITC</t>
  </si>
  <si>
    <t>Nestle India</t>
  </si>
  <si>
    <t>Varun Beverages</t>
  </si>
  <si>
    <t>Britannia Inds.</t>
  </si>
  <si>
    <t>Mar Cap .</t>
  </si>
  <si>
    <t xml:space="preserve">Price </t>
  </si>
  <si>
    <t>COMPS DATA</t>
  </si>
  <si>
    <t>INDUSTRY DATA</t>
  </si>
  <si>
    <t xml:space="preserve">Name </t>
  </si>
  <si>
    <t xml:space="preserve">Equity Value </t>
  </si>
  <si>
    <t>Debt/Equity</t>
  </si>
  <si>
    <t>Debt/Capital</t>
  </si>
  <si>
    <t>Tax Rate%</t>
  </si>
  <si>
    <t>Levered Beta</t>
  </si>
  <si>
    <t>Unlevered Beta</t>
  </si>
  <si>
    <t xml:space="preserve">Average </t>
  </si>
  <si>
    <t>COMPARABLE COMPANIES ANALYSIS</t>
  </si>
  <si>
    <t>10 year gov bond yield</t>
  </si>
  <si>
    <t>Expected return over risk free rate for Equity Investors</t>
  </si>
  <si>
    <t xml:space="preserve">Effective </t>
  </si>
  <si>
    <t>Terminal Year FCF (FY31)</t>
  </si>
  <si>
    <t>Conservative long term growth consdering India's GDP</t>
  </si>
  <si>
    <t>Upside Risks:</t>
  </si>
  <si>
    <r>
      <rPr>
        <b/>
        <sz val="12"/>
        <color rgb="FF000000"/>
        <rFont val="Arial"/>
        <family val="2"/>
      </rPr>
      <t>Premiumization:</t>
    </r>
    <r>
      <rPr>
        <sz val="12"/>
        <color rgb="FF000000"/>
        <rFont val="Arial"/>
        <family val="2"/>
      </rPr>
      <t xml:space="preserve"> Faster shift to Lakme, Dove, Surf Excel Premium vs Mass could lift GM beyond 54% planned</t>
    </r>
  </si>
  <si>
    <r>
      <rPr>
        <b/>
        <sz val="12"/>
        <color rgb="FF000000"/>
        <rFont val="Arial"/>
        <family val="2"/>
      </rPr>
      <t>Market Share Gains</t>
    </r>
    <r>
      <rPr>
        <sz val="12"/>
        <color rgb="FF000000"/>
        <rFont val="Arial"/>
        <family val="2"/>
      </rPr>
      <t>: Continued gains from regional/unorganized players in Laundry, Skin, Tea categories</t>
    </r>
  </si>
  <si>
    <r>
      <rPr>
        <b/>
        <sz val="12"/>
        <color rgb="FF000000"/>
        <rFont val="Arial"/>
        <family val="2"/>
      </rPr>
      <t>Margin Expansion</t>
    </r>
    <r>
      <rPr>
        <sz val="12"/>
        <color rgb="FF000000"/>
        <rFont val="Arial"/>
        <family val="2"/>
      </rPr>
      <t>: Supply chain digitization + HUL 2.0 cost savings could drive EBITDA above 24% projections</t>
    </r>
  </si>
  <si>
    <r>
      <rPr>
        <b/>
        <sz val="12"/>
        <color rgb="FF000000"/>
        <rFont val="Arial"/>
        <family val="2"/>
      </rPr>
      <t>Rural Recovery</t>
    </r>
    <r>
      <rPr>
        <sz val="12"/>
        <color rgb="FF000000"/>
        <rFont val="Arial"/>
        <family val="2"/>
      </rPr>
      <t>: Good monsoon + Govt schemes could accelerate rural volume growth beyond 6% base case</t>
    </r>
  </si>
  <si>
    <r>
      <rPr>
        <b/>
        <sz val="12"/>
        <color theme="1"/>
        <rFont val="Arial"/>
        <family val="2"/>
      </rPr>
      <t>Category Expansion</t>
    </r>
    <r>
      <rPr>
        <sz val="12"/>
        <color theme="1"/>
        <rFont val="Arial"/>
        <family val="2"/>
      </rPr>
      <t>: Foods, Nutrition, Health &amp; Wellbeing scale-up could add new revenue streams faster</t>
    </r>
  </si>
  <si>
    <t>Downside Risks:</t>
  </si>
  <si>
    <r>
      <rPr>
        <b/>
        <sz val="12"/>
        <color rgb="FF000000"/>
        <rFont val="Arial"/>
        <family val="2"/>
      </rPr>
      <t>Execution Risk:</t>
    </r>
    <r>
      <rPr>
        <sz val="12"/>
        <color rgb="FF000000"/>
        <rFont val="Arial"/>
        <family val="2"/>
      </rPr>
      <t xml:space="preserve"> Challenges in balancing price hikes vs volume growth during high RM inflation periods</t>
    </r>
  </si>
  <si>
    <r>
      <rPr>
        <b/>
        <sz val="12"/>
        <color rgb="FF000000"/>
        <rFont val="Arial"/>
        <family val="2"/>
      </rPr>
      <t>Economic Slowdown</t>
    </r>
    <r>
      <rPr>
        <sz val="12"/>
        <color rgb="FF000000"/>
        <rFont val="Arial"/>
        <family val="2"/>
      </rPr>
      <t>: Consumer downtrading to mass/local brands could impact ASP &amp; mix during economic headwinds</t>
    </r>
  </si>
  <si>
    <r>
      <rPr>
        <b/>
        <sz val="12"/>
        <color rgb="FF000000"/>
        <rFont val="Arial"/>
        <family val="2"/>
      </rPr>
      <t>Raw Material Costs</t>
    </r>
    <r>
      <rPr>
        <sz val="12"/>
        <color rgb="FF000000"/>
        <rFont val="Arial"/>
        <family val="2"/>
      </rPr>
      <t>: Rising palm oil, crude, packaging costs could pressure margins if price hikes delayed</t>
    </r>
  </si>
  <si>
    <r>
      <rPr>
        <b/>
        <sz val="12"/>
        <color rgb="FF000000"/>
        <rFont val="Arial"/>
        <family val="2"/>
      </rPr>
      <t>Royalty Risk</t>
    </r>
    <r>
      <rPr>
        <sz val="12"/>
        <color rgb="FF000000"/>
        <rFont val="Arial"/>
        <family val="2"/>
      </rPr>
      <t>: Increase in royalty/central service fees to Unilever PLC beyond current 3.5% of sales</t>
    </r>
  </si>
  <si>
    <r>
      <rPr>
        <b/>
        <sz val="12"/>
        <color rgb="FF1A1A1A"/>
        <rFont val="Arial"/>
        <family val="2"/>
      </rPr>
      <t>Competition</t>
    </r>
    <r>
      <rPr>
        <sz val="12"/>
        <color rgb="FF1A1A1A"/>
        <rFont val="Arial"/>
        <family val="2"/>
      </rPr>
      <t>: Intensifying competition from D2C brands like Mamaearth, Wow &amp; ITC in Premium Beauty/Personal Care</t>
    </r>
  </si>
  <si>
    <t xml:space="preserve">EBITDA </t>
  </si>
  <si>
    <t>Cash Eqv</t>
  </si>
  <si>
    <t>HUL Limited</t>
  </si>
  <si>
    <t>COMPS</t>
  </si>
  <si>
    <t xml:space="preserve">Shares </t>
  </si>
  <si>
    <t>Hindustan Unilever Limited is a consumer goods arm of Unilever, operating multiple product divisions including:</t>
  </si>
  <si>
    <r>
      <t>Home Care</t>
    </r>
    <r>
      <rPr>
        <sz val="14"/>
        <color theme="1"/>
        <rFont val="Arial"/>
        <family val="2"/>
      </rPr>
      <t xml:space="preserve"> - Fabric cleaning and household care (Surf Excel, Rin, Vim)</t>
    </r>
  </si>
  <si>
    <r>
      <t>Beauty &amp; Wellbeing</t>
    </r>
    <r>
      <rPr>
        <sz val="14"/>
        <color theme="1"/>
        <rFont val="Arial"/>
        <family val="2"/>
      </rPr>
      <t xml:space="preserve"> - Premium hair care, skin care, and health (Dove, Sunsilk, Vaseline)</t>
    </r>
  </si>
  <si>
    <r>
      <t>Personal Care</t>
    </r>
    <r>
      <rPr>
        <sz val="14"/>
        <color theme="1"/>
        <rFont val="Arial"/>
        <family val="2"/>
      </rPr>
      <t xml:space="preserve"> - Mass skin cleansing and oral care (Lux, Lifebuoy, Glow &amp; Lovely)</t>
    </r>
  </si>
  <si>
    <r>
      <t>Foods &amp; Refreshment</t>
    </r>
    <r>
      <rPr>
        <sz val="14"/>
        <color theme="1"/>
        <rFont val="Arial"/>
        <family val="2"/>
      </rPr>
      <t xml:space="preserve"> - Tea, coffee, nutrition, and culinary brands (Horlicks, Brooke Bond, Kissan)</t>
    </r>
  </si>
  <si>
    <r>
      <t>Total Retail Reach:</t>
    </r>
    <r>
      <rPr>
        <sz val="14"/>
        <color theme="1"/>
        <rFont val="Arial"/>
        <family val="2"/>
      </rPr>
      <t xml:space="preserve"> 9+ million retail outlets across India | </t>
    </r>
    <r>
      <rPr>
        <b/>
        <sz val="14"/>
        <color theme="1"/>
        <rFont val="Arial"/>
        <family val="2"/>
      </rPr>
      <t>Household Penetration:</t>
    </r>
    <r>
      <rPr>
        <sz val="14"/>
        <color theme="1"/>
        <rFont val="Arial"/>
        <family val="2"/>
      </rPr>
      <t xml:space="preserve"> ~90% of Indian homes</t>
    </r>
  </si>
  <si>
    <t>Sum of PV of FCF (FY27-31)</t>
  </si>
  <si>
    <t>Total Investment</t>
  </si>
  <si>
    <t>Changes in WC</t>
  </si>
  <si>
    <t>Key findings:</t>
  </si>
  <si>
    <t>Investment Recommendation: HOLD/REDUCE</t>
  </si>
  <si>
    <t>Existing shareholders may hold with trailing stop-losses.</t>
  </si>
  <si>
    <t>New investors should wait for better entry points.</t>
  </si>
  <si>
    <t>Consider partial profit booking if holding significant positions</t>
  </si>
  <si>
    <r>
      <t xml:space="preserve">The company has demonstrated steady, resilient growth with a revenue CAGR of </t>
    </r>
    <r>
      <rPr>
        <b/>
        <sz val="12"/>
        <color theme="1"/>
        <rFont val="Arial"/>
        <family val="2"/>
      </rPr>
      <t>~5.3%</t>
    </r>
    <r>
      <rPr>
        <sz val="12"/>
        <color theme="1"/>
        <rFont val="Arial"/>
        <family val="2"/>
      </rPr>
      <t xml:space="preserve"> over FY22–26.</t>
    </r>
  </si>
  <si>
    <r>
      <t xml:space="preserve">Healthy EBITDA margins, consistently maintaining stability around </t>
    </r>
    <r>
      <rPr>
        <b/>
        <sz val="12"/>
        <color theme="1"/>
        <rFont val="Arial"/>
        <family val="2"/>
      </rPr>
      <t>~23.3%</t>
    </r>
    <r>
      <rPr>
        <sz val="12"/>
        <color theme="1"/>
        <rFont val="Arial"/>
        <family val="2"/>
      </rPr>
      <t>.</t>
    </r>
  </si>
  <si>
    <r>
      <t xml:space="preserve">However, current valuation appears stretched with an implied PE of </t>
    </r>
    <r>
      <rPr>
        <b/>
        <sz val="12"/>
        <color theme="1"/>
        <rFont val="Arial"/>
        <family val="2"/>
      </rPr>
      <t>~33.3x</t>
    </r>
    <r>
      <rPr>
        <sz val="12"/>
        <color theme="1"/>
        <rFont val="Arial"/>
        <family val="2"/>
      </rPr>
      <t xml:space="preserve"> of trailing earnings based on our baseline cash framework.</t>
    </r>
  </si>
  <si>
    <t xml:space="preserve"> suggesting that the stock is trading at a significant premium of 165% to its fair value.</t>
  </si>
  <si>
    <r>
      <t xml:space="preserve">Based on our DCF Analysis, </t>
    </r>
    <r>
      <rPr>
        <b/>
        <sz val="12"/>
        <color theme="1"/>
        <rFont val="Arial"/>
        <family val="2"/>
      </rPr>
      <t>Hindustan Unilever Ltd's</t>
    </r>
    <r>
      <rPr>
        <sz val="12"/>
        <color theme="1"/>
        <rFont val="Arial"/>
        <family val="2"/>
      </rPr>
      <t xml:space="preserve"> intrinsic value is estimated at </t>
    </r>
    <r>
      <rPr>
        <b/>
        <sz val="12"/>
        <color theme="1"/>
        <rFont val="Arial"/>
        <family val="2"/>
      </rPr>
      <t>Rs. 805 per share</t>
    </r>
    <r>
      <rPr>
        <sz val="12"/>
        <color theme="1"/>
        <rFont val="Arial"/>
        <family val="2"/>
      </rPr>
      <t xml:space="preserve">, compared to the </t>
    </r>
    <r>
      <rPr>
        <b/>
        <sz val="12"/>
        <color theme="1"/>
        <rFont val="Arial"/>
        <family val="2"/>
      </rPr>
      <t>market price of Rs. 2,130 per share</t>
    </r>
    <r>
      <rPr>
        <sz val="12"/>
        <color theme="1"/>
        <rFont val="Arial"/>
        <family val="2"/>
      </rPr>
      <t>,</t>
    </r>
  </si>
  <si>
    <t xml:space="preserve">While HUL remains a high-quality consumer staple franchise with defensive growth prospects, the current valuation leaves limited margin of safety for investors. </t>
  </si>
  <si>
    <t>The stock appears to be pricing in perfect execution over the next 5–7 years. Investors may consider: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</si>
</sst>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₹&quot;\ #,##0;[Red]&quot;₹&quot;\ \-#,##0"/>
    <numFmt numFmtId="43" formatCode="_ * #,##0.00_ ;_ * \-#,##0.00_ ;_ * &quot;-&quot;??_ ;_ @_ "/>
    <numFmt numFmtId="164" formatCode="#\A"/>
    <numFmt numFmtId="165" formatCode="[$-409]mmm\-yy"/>
    <numFmt numFmtId="166" formatCode="#,##0.0"/>
    <numFmt numFmtId="167" formatCode="0.0%"/>
    <numFmt numFmtId="168" formatCode=";;;"/>
    <numFmt numFmtId="169" formatCode="_-* #,##0_-;\(#,##0\)_-;_-* &quot;-&quot;_-;_-@"/>
    <numFmt numFmtId="170" formatCode="[Green]0.0%;[Red]\-0.0%"/>
    <numFmt numFmtId="171" formatCode="_(* #,##0.00_);_(* \(#,##0.00\);_(* &quot;-&quot;??_);_(@_)"/>
    <numFmt numFmtId="172" formatCode="_-* #,##0_-;\-* #,##0_-;_-* &quot;-&quot;??_-;_-@"/>
    <numFmt numFmtId="173" formatCode="&quot;₹&quot;#,##0_);[Red]\(&quot;₹&quot;#,##0\)"/>
    <numFmt numFmtId="174" formatCode="&quot;$&quot;#,##0_);\(&quot;$&quot;#,##0\)"/>
    <numFmt numFmtId="175" formatCode="0.0\x"/>
    <numFmt numFmtId="176" formatCode="_ * #,##0_ ;_ * \-#,##0_ ;_ * &quot;-&quot;??_ ;_ @_ "/>
  </numFmts>
  <fonts count="7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</font>
    <font>
      <b/>
      <sz val="36"/>
      <color theme="4"/>
      <name val="Libre Franklin"/>
    </font>
    <font>
      <sz val="11"/>
      <color theme="1"/>
      <name val="Calibri"/>
    </font>
    <font>
      <sz val="18"/>
      <color theme="1"/>
      <name val="Libre Franklin"/>
    </font>
    <font>
      <sz val="11"/>
      <color theme="0"/>
      <name val="Calibri"/>
    </font>
    <font>
      <b/>
      <sz val="8"/>
      <color theme="0"/>
      <name val="Arial"/>
    </font>
    <font>
      <b/>
      <sz val="18"/>
      <color theme="0"/>
      <name val="Arial"/>
    </font>
    <font>
      <sz val="11"/>
      <color theme="0"/>
      <name val="Arial"/>
    </font>
    <font>
      <sz val="14"/>
      <color rgb="FF000000"/>
      <name val="Arial"/>
    </font>
    <font>
      <b/>
      <sz val="11"/>
      <color rgb="FFFFFFFF"/>
      <name val="Arial"/>
    </font>
    <font>
      <sz val="11"/>
      <name val="Calibri"/>
    </font>
    <font>
      <b/>
      <sz val="11"/>
      <color theme="1"/>
      <name val="Arial"/>
    </font>
    <font>
      <sz val="12"/>
      <color theme="1"/>
      <name val="Arial"/>
    </font>
    <font>
      <i/>
      <sz val="11"/>
      <color theme="1"/>
      <name val="Arial"/>
    </font>
    <font>
      <b/>
      <sz val="16"/>
      <color theme="0"/>
      <name val="Arial"/>
    </font>
    <font>
      <b/>
      <u/>
      <sz val="11"/>
      <color theme="1"/>
      <name val="Arial"/>
    </font>
    <font>
      <sz val="11"/>
      <color rgb="FFFF0000"/>
      <name val="Arial"/>
    </font>
    <font>
      <b/>
      <sz val="13"/>
      <color rgb="FF1A1A1A"/>
      <name val="Arial"/>
    </font>
    <font>
      <sz val="16"/>
      <color rgb="FF000000"/>
      <name val="Arial"/>
    </font>
    <font>
      <b/>
      <sz val="14"/>
      <color theme="1"/>
      <name val="Arial"/>
    </font>
    <font>
      <b/>
      <u/>
      <sz val="12"/>
      <color rgb="FF1A1A1A"/>
      <name val="Arial"/>
    </font>
    <font>
      <sz val="12"/>
      <color rgb="FF000000"/>
      <name val="Arial"/>
    </font>
    <font>
      <b/>
      <sz val="12"/>
      <color rgb="FF1A1A1A"/>
      <name val="Arial"/>
    </font>
    <font>
      <b/>
      <i/>
      <sz val="8"/>
      <color rgb="FF666666"/>
      <name val="Arial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sz val="12"/>
      <color theme="1"/>
      <name val="Book Antiqua"/>
    </font>
    <font>
      <sz val="12"/>
      <color rgb="FF0000FF"/>
      <name val="Book Antiqua"/>
    </font>
    <font>
      <sz val="12"/>
      <color theme="0"/>
      <name val="Calibri"/>
    </font>
    <font>
      <i/>
      <sz val="10"/>
      <color theme="0"/>
      <name val="Book Antiqua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20"/>
      <color rgb="FF002060"/>
      <name val="Arial"/>
      <family val="2"/>
    </font>
    <font>
      <b/>
      <sz val="12"/>
      <color rgb="FF002060"/>
      <name val="Calibri"/>
      <family val="2"/>
    </font>
    <font>
      <sz val="12"/>
      <color rgb="FF002060"/>
      <name val="Arial"/>
      <family val="2"/>
    </font>
    <font>
      <b/>
      <sz val="18"/>
      <color rgb="FF00206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Calibri"/>
      <family val="2"/>
    </font>
    <font>
      <b/>
      <sz val="11"/>
      <color theme="1"/>
      <name val="Arial"/>
      <family val="2"/>
    </font>
    <font>
      <sz val="18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rgb="FF22222F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theme="3" tint="0.14999847407452621"/>
      <name val="Arial"/>
      <family val="2"/>
    </font>
    <font>
      <sz val="16"/>
      <color rgb="FF0066CC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rgb="FF1A1A1A"/>
      <name val="Arial"/>
      <family val="2"/>
    </font>
    <font>
      <b/>
      <sz val="12"/>
      <color rgb="FF1A1A1A"/>
      <name val="Arial"/>
      <family val="2"/>
    </font>
    <font>
      <b/>
      <u/>
      <sz val="12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9F9F9"/>
        <bgColor rgb="FFF9F9F9"/>
      </patternFill>
    </fill>
    <fill>
      <patternFill patternType="solid">
        <fgColor rgb="FF0066CC"/>
        <bgColor rgb="FF0066CC"/>
      </patternFill>
    </fill>
    <fill>
      <patternFill patternType="solid">
        <fgColor rgb="FF0275D8"/>
        <bgColor rgb="FF0275D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ACD"/>
        <bgColor rgb="FFFFFACD"/>
      </patternFill>
    </fill>
    <fill>
      <patternFill patternType="solid">
        <fgColor rgb="FFE8F4F8"/>
        <bgColor rgb="FFE8F4F8"/>
      </patternFill>
    </fill>
    <fill>
      <patternFill patternType="solid">
        <fgColor rgb="FFD4EDDA"/>
        <bgColor rgb="FFD4EDDA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rgb="FF002060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4" tint="0.39997558519241921"/>
        <bgColor rgb="FF0275D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66CC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D4EDDA"/>
      </patternFill>
    </fill>
    <fill>
      <patternFill patternType="solid">
        <fgColor rgb="FF002060"/>
        <bgColor rgb="FF0066C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4">
    <xf numFmtId="0" fontId="0" fillId="0" borderId="0"/>
    <xf numFmtId="9" fontId="29" fillId="0" borderId="0" applyFont="0" applyFill="0" applyBorder="0" applyAlignment="0" applyProtection="0"/>
    <xf numFmtId="0" fontId="54" fillId="0" borderId="0" applyNumberFormat="0" applyFill="0" applyBorder="0" applyAlignment="0" applyProtection="0"/>
    <xf numFmtId="43" fontId="29" fillId="0" borderId="0" applyFont="0" applyFill="0" applyBorder="0" applyAlignment="0" applyProtection="0"/>
  </cellStyleXfs>
  <cellXfs count="2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right" vertical="center"/>
    </xf>
    <xf numFmtId="0" fontId="2" fillId="2" borderId="1" xfId="0" applyFont="1" applyFill="1" applyBorder="1"/>
    <xf numFmtId="0" fontId="14" fillId="0" borderId="0" xfId="0" applyFont="1"/>
    <xf numFmtId="9" fontId="2" fillId="0" borderId="0" xfId="0" applyNumberFormat="1" applyFont="1"/>
    <xf numFmtId="0" fontId="13" fillId="6" borderId="2" xfId="0" applyFont="1" applyFill="1" applyBorder="1" applyAlignment="1">
      <alignment horizontal="left" vertical="center"/>
    </xf>
    <xf numFmtId="166" fontId="13" fillId="6" borderId="2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43" fontId="2" fillId="0" borderId="0" xfId="0" applyNumberFormat="1" applyFont="1"/>
    <xf numFmtId="3" fontId="2" fillId="0" borderId="2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left" vertical="center"/>
    </xf>
    <xf numFmtId="168" fontId="2" fillId="0" borderId="8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  <xf numFmtId="0" fontId="15" fillId="0" borderId="7" xfId="0" applyFont="1" applyBorder="1" applyAlignment="1">
      <alignment horizontal="left" vertical="center"/>
    </xf>
    <xf numFmtId="9" fontId="15" fillId="0" borderId="8" xfId="0" applyNumberFormat="1" applyFont="1" applyBorder="1" applyAlignment="1">
      <alignment vertical="center"/>
    </xf>
    <xf numFmtId="9" fontId="15" fillId="0" borderId="9" xfId="0" applyNumberFormat="1" applyFont="1" applyBorder="1" applyAlignment="1">
      <alignment vertical="center"/>
    </xf>
    <xf numFmtId="0" fontId="15" fillId="0" borderId="7" xfId="0" quotePrefix="1" applyFont="1" applyBorder="1" applyAlignment="1">
      <alignment horizontal="left" vertical="center"/>
    </xf>
    <xf numFmtId="169" fontId="2" fillId="0" borderId="2" xfId="0" applyNumberFormat="1" applyFont="1" applyBorder="1" applyAlignment="1">
      <alignment horizontal="right" vertical="center"/>
    </xf>
    <xf numFmtId="0" fontId="13" fillId="0" borderId="0" xfId="0" applyFont="1"/>
    <xf numFmtId="169" fontId="18" fillId="0" borderId="2" xfId="0" applyNumberFormat="1" applyFont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169" fontId="13" fillId="8" borderId="2" xfId="0" applyNumberFormat="1" applyFont="1" applyFill="1" applyBorder="1" applyAlignment="1">
      <alignment horizontal="right" vertical="center"/>
    </xf>
    <xf numFmtId="0" fontId="11" fillId="4" borderId="11" xfId="0" applyFont="1" applyFill="1" applyBorder="1" applyAlignment="1">
      <alignment horizontal="left" vertical="center"/>
    </xf>
    <xf numFmtId="3" fontId="2" fillId="0" borderId="7" xfId="0" applyNumberFormat="1" applyFont="1" applyBorder="1" applyAlignment="1">
      <alignment horizontal="left" vertical="center"/>
    </xf>
    <xf numFmtId="167" fontId="2" fillId="0" borderId="2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left" vertical="center"/>
    </xf>
    <xf numFmtId="4" fontId="13" fillId="8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right" vertical="center"/>
    </xf>
    <xf numFmtId="0" fontId="21" fillId="8" borderId="2" xfId="0" applyFont="1" applyFill="1" applyBorder="1" applyAlignment="1">
      <alignment horizontal="left" vertical="center"/>
    </xf>
    <xf numFmtId="6" fontId="21" fillId="8" borderId="2" xfId="0" applyNumberFormat="1" applyFont="1" applyFill="1" applyBorder="1" applyAlignment="1">
      <alignment horizontal="right" vertical="center"/>
    </xf>
    <xf numFmtId="6" fontId="2" fillId="0" borderId="2" xfId="0" applyNumberFormat="1" applyFont="1" applyBorder="1" applyAlignment="1">
      <alignment horizontal="right" vertical="center"/>
    </xf>
    <xf numFmtId="168" fontId="2" fillId="0" borderId="0" xfId="0" applyNumberFormat="1" applyFont="1"/>
    <xf numFmtId="10" fontId="13" fillId="0" borderId="2" xfId="0" applyNumberFormat="1" applyFont="1" applyBorder="1" applyAlignment="1">
      <alignment horizontal="left" vertical="center"/>
    </xf>
    <xf numFmtId="10" fontId="13" fillId="8" borderId="2" xfId="0" applyNumberFormat="1" applyFont="1" applyFill="1" applyBorder="1" applyAlignment="1">
      <alignment horizontal="left" vertical="center"/>
    </xf>
    <xf numFmtId="6" fontId="13" fillId="8" borderId="2" xfId="0" applyNumberFormat="1" applyFont="1" applyFill="1" applyBorder="1" applyAlignment="1">
      <alignment horizontal="right" vertical="center"/>
    </xf>
    <xf numFmtId="168" fontId="14" fillId="0" borderId="0" xfId="0" applyNumberFormat="1" applyFont="1" applyAlignment="1">
      <alignment horizontal="left" vertical="center"/>
    </xf>
    <xf numFmtId="168" fontId="14" fillId="0" borderId="0" xfId="0" applyNumberFormat="1" applyFont="1"/>
    <xf numFmtId="168" fontId="24" fillId="0" borderId="0" xfId="0" applyNumberFormat="1" applyFont="1" applyAlignment="1">
      <alignment horizontal="left" vertical="center"/>
    </xf>
    <xf numFmtId="168" fontId="23" fillId="0" borderId="0" xfId="0" applyNumberFormat="1" applyFont="1" applyAlignment="1">
      <alignment vertical="center"/>
    </xf>
    <xf numFmtId="168" fontId="23" fillId="0" borderId="0" xfId="0" applyNumberFormat="1" applyFont="1" applyAlignment="1">
      <alignment vertical="center" wrapText="1"/>
    </xf>
    <xf numFmtId="168" fontId="23" fillId="0" borderId="0" xfId="0" applyNumberFormat="1" applyFont="1" applyAlignment="1">
      <alignment horizontal="left" vertical="center"/>
    </xf>
    <xf numFmtId="43" fontId="26" fillId="0" borderId="0" xfId="0" applyNumberFormat="1" applyFont="1"/>
    <xf numFmtId="43" fontId="4" fillId="0" borderId="0" xfId="0" applyNumberFormat="1" applyFont="1"/>
    <xf numFmtId="0" fontId="29" fillId="0" borderId="0" xfId="0" applyFont="1"/>
    <xf numFmtId="165" fontId="28" fillId="5" borderId="1" xfId="0" applyNumberFormat="1" applyFont="1" applyFill="1" applyBorder="1"/>
    <xf numFmtId="165" fontId="28" fillId="5" borderId="1" xfId="0" applyNumberFormat="1" applyFont="1" applyFill="1" applyBorder="1" applyAlignment="1">
      <alignment horizontal="center"/>
    </xf>
    <xf numFmtId="165" fontId="4" fillId="0" borderId="0" xfId="0" applyNumberFormat="1" applyFont="1"/>
    <xf numFmtId="171" fontId="4" fillId="0" borderId="0" xfId="0" applyNumberFormat="1" applyFont="1"/>
    <xf numFmtId="0" fontId="2" fillId="0" borderId="0" xfId="0" applyFont="1" applyAlignment="1">
      <alignment horizontal="center"/>
    </xf>
    <xf numFmtId="0" fontId="11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0" fontId="11" fillId="4" borderId="16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167" fontId="11" fillId="4" borderId="20" xfId="0" applyNumberFormat="1" applyFont="1" applyFill="1" applyBorder="1" applyAlignment="1">
      <alignment horizontal="center" vertical="center"/>
    </xf>
    <xf numFmtId="2" fontId="11" fillId="4" borderId="20" xfId="0" applyNumberFormat="1" applyFont="1" applyFill="1" applyBorder="1" applyAlignment="1">
      <alignment horizontal="center" vertical="center"/>
    </xf>
    <xf numFmtId="172" fontId="14" fillId="0" borderId="0" xfId="0" applyNumberFormat="1" applyFont="1"/>
    <xf numFmtId="0" fontId="11" fillId="4" borderId="22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37" fontId="30" fillId="0" borderId="0" xfId="0" applyNumberFormat="1" applyFont="1" applyAlignment="1">
      <alignment horizontal="left"/>
    </xf>
    <xf numFmtId="0" fontId="30" fillId="0" borderId="0" xfId="0" applyFont="1"/>
    <xf numFmtId="173" fontId="31" fillId="0" borderId="0" xfId="0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173" fontId="30" fillId="0" borderId="0" xfId="0" applyNumberFormat="1" applyFont="1" applyAlignment="1">
      <alignment vertical="center"/>
    </xf>
    <xf numFmtId="174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75" fontId="30" fillId="0" borderId="0" xfId="0" applyNumberFormat="1" applyFont="1" applyAlignment="1">
      <alignment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left" vertical="center"/>
    </xf>
    <xf numFmtId="166" fontId="2" fillId="12" borderId="14" xfId="0" applyNumberFormat="1" applyFont="1" applyFill="1" applyBorder="1" applyAlignment="1">
      <alignment horizontal="right" vertical="center"/>
    </xf>
    <xf numFmtId="0" fontId="15" fillId="12" borderId="14" xfId="0" applyFont="1" applyFill="1" applyBorder="1" applyAlignment="1">
      <alignment horizontal="left" vertical="center"/>
    </xf>
    <xf numFmtId="9" fontId="15" fillId="12" borderId="14" xfId="0" applyNumberFormat="1" applyFont="1" applyFill="1" applyBorder="1" applyAlignment="1">
      <alignment horizontal="right" vertical="center"/>
    </xf>
    <xf numFmtId="0" fontId="13" fillId="13" borderId="14" xfId="0" applyFont="1" applyFill="1" applyBorder="1" applyAlignment="1">
      <alignment horizontal="left" vertical="center"/>
    </xf>
    <xf numFmtId="166" fontId="13" fillId="13" borderId="14" xfId="0" applyNumberFormat="1" applyFont="1" applyFill="1" applyBorder="1" applyAlignment="1">
      <alignment horizontal="right" vertical="center"/>
    </xf>
    <xf numFmtId="0" fontId="15" fillId="13" borderId="14" xfId="0" applyFont="1" applyFill="1" applyBorder="1" applyAlignment="1">
      <alignment horizontal="left" vertical="center"/>
    </xf>
    <xf numFmtId="167" fontId="15" fillId="13" borderId="14" xfId="0" applyNumberFormat="1" applyFont="1" applyFill="1" applyBorder="1" applyAlignment="1">
      <alignment horizontal="right" vertical="center"/>
    </xf>
    <xf numFmtId="0" fontId="2" fillId="14" borderId="1" xfId="0" applyFont="1" applyFill="1" applyBorder="1"/>
    <xf numFmtId="0" fontId="2" fillId="15" borderId="0" xfId="0" applyFont="1" applyFill="1"/>
    <xf numFmtId="0" fontId="34" fillId="14" borderId="1" xfId="0" applyFont="1" applyFill="1" applyBorder="1"/>
    <xf numFmtId="0" fontId="34" fillId="15" borderId="0" xfId="0" applyFont="1" applyFill="1"/>
    <xf numFmtId="0" fontId="36" fillId="14" borderId="1" xfId="0" applyFont="1" applyFill="1" applyBorder="1"/>
    <xf numFmtId="0" fontId="2" fillId="12" borderId="0" xfId="0" applyFont="1" applyFill="1"/>
    <xf numFmtId="0" fontId="35" fillId="16" borderId="14" xfId="0" applyFont="1" applyFill="1" applyBorder="1" applyAlignment="1">
      <alignment horizontal="left" vertical="center"/>
    </xf>
    <xf numFmtId="0" fontId="36" fillId="16" borderId="14" xfId="0" applyFont="1" applyFill="1" applyBorder="1"/>
    <xf numFmtId="0" fontId="34" fillId="16" borderId="14" xfId="0" applyFont="1" applyFill="1" applyBorder="1"/>
    <xf numFmtId="0" fontId="34" fillId="12" borderId="0" xfId="0" applyFont="1" applyFill="1"/>
    <xf numFmtId="0" fontId="0" fillId="12" borderId="0" xfId="0" applyFill="1"/>
    <xf numFmtId="0" fontId="37" fillId="3" borderId="14" xfId="0" applyFont="1" applyFill="1" applyBorder="1" applyAlignment="1">
      <alignment horizontal="left" vertical="center"/>
    </xf>
    <xf numFmtId="165" fontId="38" fillId="17" borderId="1" xfId="0" applyNumberFormat="1" applyFont="1" applyFill="1" applyBorder="1"/>
    <xf numFmtId="17" fontId="38" fillId="17" borderId="1" xfId="0" applyNumberFormat="1" applyFont="1" applyFill="1" applyBorder="1" applyAlignment="1">
      <alignment horizontal="right"/>
    </xf>
    <xf numFmtId="0" fontId="40" fillId="3" borderId="1" xfId="0" applyFont="1" applyFill="1" applyBorder="1" applyAlignment="1">
      <alignment horizontal="left" vertical="center"/>
    </xf>
    <xf numFmtId="0" fontId="41" fillId="14" borderId="1" xfId="0" applyFont="1" applyFill="1" applyBorder="1" applyAlignment="1">
      <alignment horizontal="left" vertical="center"/>
    </xf>
    <xf numFmtId="0" fontId="42" fillId="14" borderId="1" xfId="0" applyFont="1" applyFill="1" applyBorder="1"/>
    <xf numFmtId="0" fontId="43" fillId="15" borderId="0" xfId="0" applyFont="1" applyFill="1"/>
    <xf numFmtId="0" fontId="44" fillId="14" borderId="1" xfId="0" applyFont="1" applyFill="1" applyBorder="1" applyAlignment="1">
      <alignment horizontal="left" vertical="center"/>
    </xf>
    <xf numFmtId="0" fontId="45" fillId="15" borderId="0" xfId="0" applyFont="1" applyFill="1"/>
    <xf numFmtId="0" fontId="39" fillId="18" borderId="0" xfId="0" applyFont="1" applyFill="1" applyAlignment="1">
      <alignment horizontal="right"/>
    </xf>
    <xf numFmtId="166" fontId="48" fillId="12" borderId="14" xfId="0" applyNumberFormat="1" applyFont="1" applyFill="1" applyBorder="1" applyAlignment="1">
      <alignment horizontal="right" vertical="center"/>
    </xf>
    <xf numFmtId="0" fontId="40" fillId="3" borderId="14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3" fontId="2" fillId="15" borderId="0" xfId="0" applyNumberFormat="1" applyFont="1" applyFill="1"/>
    <xf numFmtId="0" fontId="16" fillId="16" borderId="14" xfId="0" applyFont="1" applyFill="1" applyBorder="1" applyAlignment="1">
      <alignment horizontal="left" vertical="center"/>
    </xf>
    <xf numFmtId="0" fontId="2" fillId="16" borderId="14" xfId="0" applyFont="1" applyFill="1" applyBorder="1"/>
    <xf numFmtId="3" fontId="2" fillId="12" borderId="0" xfId="0" applyNumberFormat="1" applyFont="1" applyFill="1"/>
    <xf numFmtId="168" fontId="2" fillId="7" borderId="10" xfId="0" applyNumberFormat="1" applyFont="1" applyFill="1" applyBorder="1" applyAlignment="1">
      <alignment horizontal="right" vertical="center"/>
    </xf>
    <xf numFmtId="0" fontId="43" fillId="12" borderId="0" xfId="0" applyFont="1" applyFill="1"/>
    <xf numFmtId="0" fontId="45" fillId="12" borderId="0" xfId="0" applyFont="1" applyFill="1"/>
    <xf numFmtId="0" fontId="39" fillId="12" borderId="0" xfId="0" applyFont="1" applyFill="1"/>
    <xf numFmtId="0" fontId="6" fillId="14" borderId="1" xfId="0" applyFont="1" applyFill="1" applyBorder="1" applyAlignment="1">
      <alignment horizontal="left" vertical="center"/>
    </xf>
    <xf numFmtId="0" fontId="4" fillId="15" borderId="0" xfId="0" applyFont="1" applyFill="1" applyAlignment="1">
      <alignment vertical="center"/>
    </xf>
    <xf numFmtId="164" fontId="7" fillId="14" borderId="1" xfId="0" applyNumberFormat="1" applyFont="1" applyFill="1" applyBorder="1" applyAlignment="1">
      <alignment horizontal="right" vertical="center"/>
    </xf>
    <xf numFmtId="0" fontId="49" fillId="14" borderId="1" xfId="0" applyFont="1" applyFill="1" applyBorder="1" applyAlignment="1">
      <alignment horizontal="left" vertical="center"/>
    </xf>
    <xf numFmtId="0" fontId="14" fillId="12" borderId="0" xfId="0" applyFont="1" applyFill="1"/>
    <xf numFmtId="165" fontId="50" fillId="17" borderId="1" xfId="0" applyNumberFormat="1" applyFont="1" applyFill="1" applyBorder="1"/>
    <xf numFmtId="17" fontId="51" fillId="17" borderId="1" xfId="0" applyNumberFormat="1" applyFont="1" applyFill="1" applyBorder="1" applyAlignment="1">
      <alignment horizontal="right"/>
    </xf>
    <xf numFmtId="0" fontId="48" fillId="19" borderId="2" xfId="0" applyFont="1" applyFill="1" applyBorder="1" applyAlignment="1">
      <alignment horizontal="left" vertical="center"/>
    </xf>
    <xf numFmtId="0" fontId="48" fillId="19" borderId="2" xfId="0" applyFont="1" applyFill="1" applyBorder="1" applyAlignment="1">
      <alignment horizontal="right" vertical="center"/>
    </xf>
    <xf numFmtId="167" fontId="15" fillId="12" borderId="14" xfId="0" applyNumberFormat="1" applyFont="1" applyFill="1" applyBorder="1" applyAlignment="1">
      <alignment horizontal="right" vertical="center"/>
    </xf>
    <xf numFmtId="43" fontId="1" fillId="0" borderId="0" xfId="0" applyNumberFormat="1" applyFont="1"/>
    <xf numFmtId="0" fontId="53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0" fillId="0" borderId="0" xfId="1" applyNumberFormat="1" applyFont="1" applyAlignment="1">
      <alignment horizontal="right"/>
    </xf>
    <xf numFmtId="43" fontId="0" fillId="0" borderId="0" xfId="3" applyFont="1" applyAlignment="1">
      <alignment horizontal="right"/>
    </xf>
    <xf numFmtId="0" fontId="55" fillId="15" borderId="0" xfId="0" applyFont="1" applyFill="1"/>
    <xf numFmtId="43" fontId="2" fillId="0" borderId="2" xfId="3" applyFont="1" applyBorder="1" applyAlignment="1">
      <alignment horizontal="left" vertical="center"/>
    </xf>
    <xf numFmtId="3" fontId="2" fillId="9" borderId="1" xfId="0" applyNumberFormat="1" applyFont="1" applyFill="1" applyBorder="1" applyAlignment="1">
      <alignment horizontal="center" vertical="center"/>
    </xf>
    <xf numFmtId="170" fontId="56" fillId="0" borderId="2" xfId="0" applyNumberFormat="1" applyFont="1" applyBorder="1" applyAlignment="1">
      <alignment horizontal="right" vertical="center"/>
    </xf>
    <xf numFmtId="3" fontId="5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60" fillId="0" borderId="0" xfId="0" applyFont="1"/>
    <xf numFmtId="0" fontId="60" fillId="0" borderId="14" xfId="0" applyFont="1" applyBorder="1"/>
    <xf numFmtId="0" fontId="62" fillId="0" borderId="14" xfId="0" applyFont="1" applyBorder="1" applyAlignment="1">
      <alignment horizontal="left" vertical="center"/>
    </xf>
    <xf numFmtId="0" fontId="64" fillId="0" borderId="0" xfId="0" applyFont="1" applyAlignment="1">
      <alignment horizontal="left" vertical="center"/>
    </xf>
    <xf numFmtId="2" fontId="0" fillId="0" borderId="0" xfId="0" applyNumberFormat="1" applyAlignment="1">
      <alignment horizontal="right"/>
    </xf>
    <xf numFmtId="167" fontId="0" fillId="22" borderId="0" xfId="0" applyNumberFormat="1" applyFill="1"/>
    <xf numFmtId="43" fontId="0" fillId="22" borderId="0" xfId="3" applyFont="1" applyFill="1"/>
    <xf numFmtId="0" fontId="0" fillId="22" borderId="0" xfId="0" applyFill="1"/>
    <xf numFmtId="175" fontId="0" fillId="22" borderId="0" xfId="0" applyNumberFormat="1" applyFill="1"/>
    <xf numFmtId="175" fontId="0" fillId="12" borderId="0" xfId="0" applyNumberFormat="1" applyFill="1" applyAlignment="1">
      <alignment horizontal="right"/>
    </xf>
    <xf numFmtId="1" fontId="0" fillId="12" borderId="0" xfId="0" applyNumberFormat="1" applyFill="1" applyAlignment="1">
      <alignment horizontal="right"/>
    </xf>
    <xf numFmtId="1" fontId="0" fillId="0" borderId="0" xfId="0" applyNumberFormat="1" applyAlignment="1">
      <alignment horizontal="right"/>
    </xf>
    <xf numFmtId="1" fontId="0" fillId="22" borderId="0" xfId="0" applyNumberFormat="1" applyFill="1"/>
    <xf numFmtId="0" fontId="66" fillId="0" borderId="0" xfId="0" applyFont="1"/>
    <xf numFmtId="0" fontId="0" fillId="15" borderId="0" xfId="0" applyFill="1"/>
    <xf numFmtId="0" fontId="66" fillId="23" borderId="0" xfId="0" applyFont="1" applyFill="1"/>
    <xf numFmtId="0" fontId="66" fillId="23" borderId="0" xfId="0" applyFont="1" applyFill="1" applyAlignment="1">
      <alignment horizontal="right"/>
    </xf>
    <xf numFmtId="0" fontId="66" fillId="20" borderId="14" xfId="2" applyFont="1" applyFill="1" applyBorder="1" applyAlignment="1">
      <alignment horizontal="left" vertical="center"/>
    </xf>
    <xf numFmtId="176" fontId="0" fillId="0" borderId="14" xfId="3" applyNumberFormat="1" applyFont="1" applyBorder="1" applyAlignment="1">
      <alignment horizontal="right"/>
    </xf>
    <xf numFmtId="175" fontId="0" fillId="0" borderId="14" xfId="0" applyNumberFormat="1" applyBorder="1" applyAlignment="1">
      <alignment horizontal="right"/>
    </xf>
    <xf numFmtId="0" fontId="66" fillId="21" borderId="14" xfId="2" applyFont="1" applyFill="1" applyBorder="1" applyAlignment="1">
      <alignment horizontal="left" vertical="center"/>
    </xf>
    <xf numFmtId="0" fontId="66" fillId="18" borderId="0" xfId="0" applyFont="1" applyFill="1"/>
    <xf numFmtId="0" fontId="66" fillId="18" borderId="0" xfId="0" applyFont="1" applyFill="1" applyAlignment="1">
      <alignment horizontal="right"/>
    </xf>
    <xf numFmtId="0" fontId="66" fillId="22" borderId="0" xfId="0" applyFont="1" applyFill="1"/>
    <xf numFmtId="0" fontId="0" fillId="0" borderId="14" xfId="0" applyBorder="1" applyAlignment="1">
      <alignment horizontal="right"/>
    </xf>
    <xf numFmtId="0" fontId="66" fillId="22" borderId="14" xfId="0" applyFont="1" applyFill="1" applyBorder="1" applyAlignment="1">
      <alignment horizontal="left"/>
    </xf>
    <xf numFmtId="0" fontId="0" fillId="22" borderId="14" xfId="0" applyFill="1" applyBorder="1"/>
    <xf numFmtId="0" fontId="53" fillId="21" borderId="14" xfId="2" applyFont="1" applyFill="1" applyBorder="1" applyAlignment="1">
      <alignment horizontal="left" vertical="center"/>
    </xf>
    <xf numFmtId="0" fontId="52" fillId="21" borderId="14" xfId="0" applyFont="1" applyFill="1" applyBorder="1" applyAlignment="1">
      <alignment horizontal="right" vertical="center" wrapText="1"/>
    </xf>
    <xf numFmtId="0" fontId="0" fillId="0" borderId="14" xfId="0" applyBorder="1"/>
    <xf numFmtId="0" fontId="53" fillId="20" borderId="14" xfId="2" applyFont="1" applyFill="1" applyBorder="1" applyAlignment="1">
      <alignment horizontal="left" vertical="center"/>
    </xf>
    <xf numFmtId="0" fontId="52" fillId="20" borderId="14" xfId="0" applyFont="1" applyFill="1" applyBorder="1" applyAlignment="1">
      <alignment horizontal="right" vertical="center" wrapText="1"/>
    </xf>
    <xf numFmtId="0" fontId="65" fillId="23" borderId="14" xfId="2" applyFont="1" applyFill="1" applyBorder="1" applyAlignment="1">
      <alignment horizontal="left" vertical="center"/>
    </xf>
    <xf numFmtId="0" fontId="65" fillId="23" borderId="14" xfId="2" applyFont="1" applyFill="1" applyBorder="1" applyAlignment="1">
      <alignment horizontal="right" vertical="center" wrapText="1"/>
    </xf>
    <xf numFmtId="0" fontId="66" fillId="23" borderId="14" xfId="0" applyFont="1" applyFill="1" applyBorder="1" applyAlignment="1">
      <alignment horizontal="right"/>
    </xf>
    <xf numFmtId="0" fontId="2" fillId="24" borderId="14" xfId="0" applyFont="1" applyFill="1" applyBorder="1" applyAlignment="1">
      <alignment horizontal="center" vertical="center"/>
    </xf>
    <xf numFmtId="0" fontId="46" fillId="19" borderId="2" xfId="0" applyFont="1" applyFill="1" applyBorder="1" applyAlignment="1">
      <alignment horizontal="left" vertical="center"/>
    </xf>
    <xf numFmtId="0" fontId="46" fillId="19" borderId="3" xfId="0" applyFont="1" applyFill="1" applyBorder="1" applyAlignment="1">
      <alignment horizontal="right" vertical="center"/>
    </xf>
    <xf numFmtId="0" fontId="48" fillId="19" borderId="11" xfId="0" applyFont="1" applyFill="1" applyBorder="1" applyAlignment="1">
      <alignment horizontal="left" vertical="center"/>
    </xf>
    <xf numFmtId="0" fontId="41" fillId="25" borderId="11" xfId="0" applyFont="1" applyFill="1" applyBorder="1" applyAlignment="1">
      <alignment horizontal="left" vertical="center"/>
    </xf>
    <xf numFmtId="167" fontId="41" fillId="25" borderId="2" xfId="0" applyNumberFormat="1" applyFont="1" applyFill="1" applyBorder="1" applyAlignment="1">
      <alignment horizontal="left" vertical="center"/>
    </xf>
    <xf numFmtId="0" fontId="11" fillId="25" borderId="2" xfId="0" applyFont="1" applyFill="1" applyBorder="1" applyAlignment="1">
      <alignment horizontal="left" vertical="center"/>
    </xf>
    <xf numFmtId="0" fontId="11" fillId="25" borderId="2" xfId="0" applyFont="1" applyFill="1" applyBorder="1" applyAlignment="1">
      <alignment horizontal="right" vertical="center"/>
    </xf>
    <xf numFmtId="0" fontId="8" fillId="16" borderId="14" xfId="0" applyFont="1" applyFill="1" applyBorder="1" applyAlignment="1">
      <alignment horizontal="left" vertical="center"/>
    </xf>
    <xf numFmtId="10" fontId="48" fillId="19" borderId="2" xfId="0" applyNumberFormat="1" applyFont="1" applyFill="1" applyBorder="1" applyAlignment="1">
      <alignment horizontal="right" vertical="center"/>
    </xf>
    <xf numFmtId="167" fontId="48" fillId="19" borderId="2" xfId="0" applyNumberFormat="1" applyFont="1" applyFill="1" applyBorder="1" applyAlignment="1">
      <alignment horizontal="right" vertical="center"/>
    </xf>
    <xf numFmtId="0" fontId="8" fillId="14" borderId="1" xfId="0" applyFont="1" applyFill="1" applyBorder="1" applyAlignment="1">
      <alignment horizontal="left" vertical="center"/>
    </xf>
    <xf numFmtId="0" fontId="68" fillId="14" borderId="1" xfId="0" applyFont="1" applyFill="1" applyBorder="1" applyAlignment="1">
      <alignment horizontal="left" vertical="center"/>
    </xf>
    <xf numFmtId="0" fontId="44" fillId="16" borderId="14" xfId="0" applyFont="1" applyFill="1" applyBorder="1" applyAlignment="1">
      <alignment horizontal="left" vertical="center"/>
    </xf>
    <xf numFmtId="0" fontId="67" fillId="0" borderId="0" xfId="0" applyFont="1" applyAlignment="1">
      <alignment vertical="center"/>
    </xf>
    <xf numFmtId="0" fontId="43" fillId="0" borderId="0" xfId="0" applyFont="1"/>
    <xf numFmtId="0" fontId="69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69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58" fillId="0" borderId="0" xfId="0" applyFont="1" applyAlignment="1">
      <alignment vertical="center"/>
    </xf>
    <xf numFmtId="0" fontId="58" fillId="0" borderId="0" xfId="0" applyFont="1"/>
    <xf numFmtId="0" fontId="70" fillId="0" borderId="0" xfId="0" applyFont="1"/>
    <xf numFmtId="0" fontId="70" fillId="0" borderId="0" xfId="0" applyFont="1" applyAlignment="1">
      <alignment horizontal="left" vertical="center" indent="1"/>
    </xf>
    <xf numFmtId="0" fontId="58" fillId="0" borderId="0" xfId="0" applyFont="1" applyAlignment="1">
      <alignment horizontal="left" vertical="top"/>
    </xf>
    <xf numFmtId="0" fontId="58" fillId="0" borderId="0" xfId="0" applyFont="1" applyAlignment="1">
      <alignment vertical="top"/>
    </xf>
    <xf numFmtId="0" fontId="70" fillId="0" borderId="0" xfId="0" applyFont="1" applyAlignment="1">
      <alignment vertical="top"/>
    </xf>
    <xf numFmtId="0" fontId="64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2" fillId="0" borderId="8" xfId="0" applyFont="1" applyBorder="1"/>
    <xf numFmtId="0" fontId="12" fillId="0" borderId="9" xfId="0" applyFont="1" applyBorder="1"/>
    <xf numFmtId="168" fontId="23" fillId="0" borderId="0" xfId="0" applyNumberFormat="1" applyFont="1" applyAlignment="1">
      <alignment horizontal="left" vertical="center" wrapText="1"/>
    </xf>
    <xf numFmtId="0" fontId="0" fillId="0" borderId="0" xfId="0"/>
    <xf numFmtId="0" fontId="25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6" fillId="19" borderId="4" xfId="0" applyFont="1" applyFill="1" applyBorder="1" applyAlignment="1">
      <alignment horizontal="left" vertical="center"/>
    </xf>
    <xf numFmtId="0" fontId="47" fillId="23" borderId="5" xfId="0" applyFont="1" applyFill="1" applyBorder="1"/>
    <xf numFmtId="0" fontId="47" fillId="23" borderId="6" xfId="0" applyFont="1" applyFill="1" applyBorder="1"/>
    <xf numFmtId="43" fontId="27" fillId="0" borderId="0" xfId="0" applyNumberFormat="1" applyFont="1" applyAlignment="1">
      <alignment horizontal="center"/>
    </xf>
    <xf numFmtId="43" fontId="28" fillId="11" borderId="12" xfId="0" applyNumberFormat="1" applyFont="1" applyFill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11" fillId="4" borderId="12" xfId="0" applyFont="1" applyFill="1" applyBorder="1" applyAlignment="1">
      <alignment horizontal="center" vertic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1">
    <dxf>
      <font>
        <b/>
        <color theme="0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0</xdr:row>
      <xdr:rowOff>9525</xdr:rowOff>
    </xdr:from>
    <xdr:ext cx="1295400" cy="466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outube\Financial%20modelling%20series\DCF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Model"/>
      <sheetName val="Comps"/>
      <sheetName val="Historical Data"/>
      <sheetName val="Theory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HINDUNILVR/consolidated/" TargetMode="External"/><Relationship Id="rId13" Type="http://schemas.openxmlformats.org/officeDocument/2006/relationships/hyperlink" Target="https://www.screener.in/company/ITC/consolidated/" TargetMode="External"/><Relationship Id="rId18" Type="http://schemas.openxmlformats.org/officeDocument/2006/relationships/hyperlink" Target="https://www.screener.in/company/NESTLEIND/" TargetMode="External"/><Relationship Id="rId3" Type="http://schemas.openxmlformats.org/officeDocument/2006/relationships/hyperlink" Target="https://www.screener.in/company/1007/?sort=debt&amp;order=desc" TargetMode="External"/><Relationship Id="rId7" Type="http://schemas.openxmlformats.org/officeDocument/2006/relationships/hyperlink" Target="https://www.screener.in/company/1007/?sort=cash+equivalents&amp;order=desc" TargetMode="External"/><Relationship Id="rId12" Type="http://schemas.openxmlformats.org/officeDocument/2006/relationships/hyperlink" Target="https://www.screener.in/company/BRITANNIA/consolidated/" TargetMode="External"/><Relationship Id="rId17" Type="http://schemas.openxmlformats.org/officeDocument/2006/relationships/hyperlink" Target="https://www.screener.in/company/ITC/consolidated/" TargetMode="External"/><Relationship Id="rId2" Type="http://schemas.openxmlformats.org/officeDocument/2006/relationships/hyperlink" Target="https://www.screener.in/company/1007/?sort=market+capitalization&amp;order=desc" TargetMode="External"/><Relationship Id="rId16" Type="http://schemas.openxmlformats.org/officeDocument/2006/relationships/hyperlink" Target="https://www.screener.in/company/BRITANNIA/consolidated/" TargetMode="External"/><Relationship Id="rId20" Type="http://schemas.openxmlformats.org/officeDocument/2006/relationships/hyperlink" Target="https://www.screener.in/company/BRITANNIA/consolidated/" TargetMode="External"/><Relationship Id="rId1" Type="http://schemas.openxmlformats.org/officeDocument/2006/relationships/hyperlink" Target="https://www.screener.in/company/1007/?sort=name&amp;order=desc" TargetMode="External"/><Relationship Id="rId6" Type="http://schemas.openxmlformats.org/officeDocument/2006/relationships/hyperlink" Target="https://www.screener.in/company/1007/?sort=evebitda&amp;order=desc" TargetMode="External"/><Relationship Id="rId11" Type="http://schemas.openxmlformats.org/officeDocument/2006/relationships/hyperlink" Target="https://www.screener.in/company/VBL/consolidated/" TargetMode="External"/><Relationship Id="rId5" Type="http://schemas.openxmlformats.org/officeDocument/2006/relationships/hyperlink" Target="https://www.screener.in/company/1007/?sort=sales&amp;order=desc" TargetMode="External"/><Relationship Id="rId15" Type="http://schemas.openxmlformats.org/officeDocument/2006/relationships/hyperlink" Target="https://www.screener.in/company/VBL/consolidated/" TargetMode="External"/><Relationship Id="rId10" Type="http://schemas.openxmlformats.org/officeDocument/2006/relationships/hyperlink" Target="https://www.screener.in/company/NESTLEIND/" TargetMode="External"/><Relationship Id="rId19" Type="http://schemas.openxmlformats.org/officeDocument/2006/relationships/hyperlink" Target="https://www.screener.in/company/VBL/consolidated/" TargetMode="External"/><Relationship Id="rId4" Type="http://schemas.openxmlformats.org/officeDocument/2006/relationships/hyperlink" Target="https://www.screener.in/company/1007/?sort=debt+to+equity&amp;order=desc" TargetMode="External"/><Relationship Id="rId9" Type="http://schemas.openxmlformats.org/officeDocument/2006/relationships/hyperlink" Target="https://www.screener.in/company/ITC/consolidated/" TargetMode="External"/><Relationship Id="rId14" Type="http://schemas.openxmlformats.org/officeDocument/2006/relationships/hyperlink" Target="https://www.screener.in/company/NESTLEIND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9"/>
  <sheetViews>
    <sheetView showGridLines="0" tabSelected="1" workbookViewId="0">
      <selection activeCell="H5" sqref="H5"/>
    </sheetView>
  </sheetViews>
  <sheetFormatPr defaultColWidth="14.44140625" defaultRowHeight="15" customHeight="1" outlineLevelRow="1"/>
  <cols>
    <col min="1" max="1" width="1.88671875" customWidth="1"/>
    <col min="2" max="2" width="50.44140625" customWidth="1"/>
    <col min="3" max="12" width="17.44140625" customWidth="1"/>
    <col min="13" max="26" width="9" customWidth="1"/>
  </cols>
  <sheetData>
    <row r="1" spans="1:26" ht="14.25" customHeight="1">
      <c r="A1" s="1"/>
      <c r="B1" s="2" t="s">
        <v>0</v>
      </c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customHeight="1">
      <c r="A2" s="1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399999999999999" customHeight="1">
      <c r="A3" s="1"/>
      <c r="B3" s="142" t="s">
        <v>194</v>
      </c>
      <c r="C3" s="139"/>
      <c r="D3" s="139"/>
      <c r="E3" s="141"/>
      <c r="F3" s="140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399999999999999" customHeight="1">
      <c r="A5" s="1"/>
      <c r="B5" s="122" t="s">
        <v>2</v>
      </c>
      <c r="C5" s="123"/>
      <c r="D5" s="123"/>
      <c r="E5" s="123"/>
      <c r="F5" s="124"/>
      <c r="G5" s="136"/>
      <c r="H5" s="136"/>
      <c r="I5" s="13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outlineLevel="1">
      <c r="A6" s="1"/>
      <c r="B6" s="8"/>
      <c r="C6" s="1"/>
      <c r="D6" s="1"/>
      <c r="E6" s="1"/>
      <c r="F6" s="1"/>
      <c r="G6" s="112"/>
      <c r="H6" s="112"/>
      <c r="I6" s="1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399999999999999" customHeight="1" outlineLevel="1">
      <c r="A7" s="1"/>
      <c r="B7" s="212" t="s">
        <v>242</v>
      </c>
      <c r="C7" s="213"/>
      <c r="D7" s="213"/>
      <c r="E7" s="213"/>
      <c r="F7" s="213"/>
      <c r="G7" s="112"/>
      <c r="H7" s="112"/>
      <c r="I7" s="1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outlineLevel="1">
      <c r="A8" s="1"/>
      <c r="B8" s="214"/>
      <c r="C8" s="213"/>
      <c r="D8" s="213"/>
      <c r="E8" s="213"/>
      <c r="F8" s="213"/>
      <c r="G8" s="112"/>
      <c r="H8" s="112"/>
      <c r="I8" s="1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outlineLevel="1">
      <c r="A9" s="1"/>
      <c r="B9" s="215" t="s">
        <v>243</v>
      </c>
      <c r="C9" s="213"/>
      <c r="D9" s="213"/>
      <c r="E9" s="213"/>
      <c r="F9" s="213"/>
      <c r="G9" s="112"/>
      <c r="H9" s="112"/>
      <c r="I9" s="1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outlineLevel="1">
      <c r="A10" s="1"/>
      <c r="B10" s="215" t="s">
        <v>244</v>
      </c>
      <c r="C10" s="213"/>
      <c r="D10" s="213"/>
      <c r="E10" s="213"/>
      <c r="F10" s="213"/>
      <c r="G10" s="112"/>
      <c r="H10" s="112"/>
      <c r="I10" s="1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outlineLevel="1">
      <c r="A11" s="1"/>
      <c r="B11" s="215" t="s">
        <v>245</v>
      </c>
      <c r="C11" s="213"/>
      <c r="D11" s="213"/>
      <c r="E11" s="213"/>
      <c r="F11" s="213"/>
      <c r="G11" s="112"/>
      <c r="H11" s="112"/>
      <c r="I11" s="1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1">
      <c r="A12" s="1"/>
      <c r="B12" s="215" t="s">
        <v>246</v>
      </c>
      <c r="C12" s="213"/>
      <c r="D12" s="213"/>
      <c r="E12" s="213"/>
      <c r="F12" s="213"/>
      <c r="G12" s="112"/>
      <c r="H12" s="112"/>
      <c r="I12" s="1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outlineLevel="1">
      <c r="A13" s="1"/>
      <c r="B13" s="216"/>
      <c r="C13" s="213"/>
      <c r="D13" s="213"/>
      <c r="E13" s="213"/>
      <c r="F13" s="213"/>
      <c r="G13" s="112"/>
      <c r="H13" s="112"/>
      <c r="I13" s="1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outlineLevel="1">
      <c r="A14" s="1"/>
      <c r="B14" s="212" t="s">
        <v>247</v>
      </c>
      <c r="C14" s="213"/>
      <c r="D14" s="213"/>
      <c r="E14" s="213"/>
      <c r="F14" s="213"/>
      <c r="G14" s="112"/>
      <c r="H14" s="112"/>
      <c r="I14" s="1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outlineLevel="1">
      <c r="A15" s="1"/>
      <c r="B15" s="9"/>
      <c r="C15" s="1"/>
      <c r="D15" s="1"/>
      <c r="E15" s="1"/>
      <c r="F15" s="1"/>
      <c r="G15" s="112"/>
      <c r="H15" s="112"/>
      <c r="I15" s="1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8"/>
      <c r="C16" s="1"/>
      <c r="D16" s="1"/>
      <c r="E16" s="1"/>
      <c r="F16" s="1"/>
      <c r="G16" s="112"/>
      <c r="H16" s="112"/>
      <c r="I16" s="1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1"/>
      <c r="B17" s="125" t="s">
        <v>3</v>
      </c>
      <c r="C17" s="125"/>
      <c r="D17" s="125"/>
      <c r="E17" s="125"/>
      <c r="F17" s="126"/>
      <c r="G17" s="137"/>
      <c r="H17" s="137"/>
      <c r="I17" s="1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hidden="1" customHeight="1" outlineLevel="1" thickBot="1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hidden="1" customHeight="1" outlineLevel="1" thickBot="1">
      <c r="A19" s="1"/>
      <c r="B19" s="199" t="s">
        <v>4</v>
      </c>
      <c r="C19" s="200" t="s">
        <v>5</v>
      </c>
      <c r="D19" s="234" t="s">
        <v>6</v>
      </c>
      <c r="E19" s="235"/>
      <c r="F19" s="23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hidden="1" customHeight="1" outlineLevel="1" thickBot="1">
      <c r="A20" s="1"/>
      <c r="B20" s="10" t="s">
        <v>7</v>
      </c>
      <c r="C20" s="11"/>
      <c r="D20" s="227"/>
      <c r="E20" s="228"/>
      <c r="F20" s="2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hidden="1" customHeight="1" outlineLevel="1" thickBot="1">
      <c r="A21" s="1"/>
      <c r="B21" s="10" t="s">
        <v>8</v>
      </c>
      <c r="C21" s="12"/>
      <c r="D21" s="227"/>
      <c r="E21" s="228"/>
      <c r="F21" s="2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hidden="1" customHeight="1" outlineLevel="1" thickBot="1">
      <c r="A22" s="1"/>
      <c r="B22" s="10" t="s">
        <v>9</v>
      </c>
      <c r="C22" s="13">
        <v>7.0000000000000007E-2</v>
      </c>
      <c r="D22" s="227" t="s">
        <v>10</v>
      </c>
      <c r="E22" s="228"/>
      <c r="F22" s="2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hidden="1" customHeight="1" outlineLevel="1" thickBot="1">
      <c r="A23" s="1"/>
      <c r="B23" s="10" t="s">
        <v>11</v>
      </c>
      <c r="C23" s="13">
        <v>0.01</v>
      </c>
      <c r="D23" s="227"/>
      <c r="E23" s="228"/>
      <c r="F23" s="2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idden="1" outlineLevel="1" thickBot="1">
      <c r="A24" s="1"/>
      <c r="B24" s="10" t="s">
        <v>12</v>
      </c>
      <c r="C24" s="14">
        <v>4.4999999999999998E-2</v>
      </c>
      <c r="D24" s="233" t="s">
        <v>224</v>
      </c>
      <c r="E24" s="228"/>
      <c r="F24" s="2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hidden="1" customHeight="1" outlineLevel="1" thickBot="1">
      <c r="A25" s="1"/>
      <c r="B25" s="10" t="s">
        <v>13</v>
      </c>
      <c r="C25" s="14">
        <v>7.0000000000000007E-2</v>
      </c>
      <c r="D25" s="227" t="s">
        <v>220</v>
      </c>
      <c r="E25" s="228"/>
      <c r="F25" s="2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hidden="1" customHeight="1" outlineLevel="1" thickBot="1">
      <c r="A26" s="1"/>
      <c r="B26" s="10" t="s">
        <v>14</v>
      </c>
      <c r="C26" s="14">
        <f>13%-C25</f>
        <v>0.06</v>
      </c>
      <c r="D26" s="227" t="s">
        <v>221</v>
      </c>
      <c r="E26" s="228"/>
      <c r="F26" s="2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hidden="1" customHeight="1" outlineLevel="1" thickBot="1">
      <c r="A27" s="1"/>
      <c r="B27" s="10" t="s">
        <v>15</v>
      </c>
      <c r="C27" s="14">
        <v>0.25</v>
      </c>
      <c r="D27" s="227" t="s">
        <v>222</v>
      </c>
      <c r="E27" s="228"/>
      <c r="F27" s="22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collapsed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4" customHeight="1">
      <c r="A29" s="1"/>
      <c r="B29" s="125" t="s">
        <v>16</v>
      </c>
      <c r="C29" s="111"/>
      <c r="D29" s="109"/>
      <c r="E29" s="109"/>
      <c r="F29" s="110"/>
      <c r="G29" s="110"/>
      <c r="H29" s="110"/>
      <c r="I29" s="1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117" customFormat="1" ht="14.25" customHeight="1">
      <c r="A30" s="112"/>
      <c r="B30" s="113"/>
      <c r="C30" s="114"/>
      <c r="D30" s="115"/>
      <c r="E30" s="115"/>
      <c r="F30" s="116"/>
      <c r="G30" s="116"/>
      <c r="H30" s="116"/>
      <c r="I30" s="116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4.25" customHeight="1" outlineLevel="1">
      <c r="A31" s="1"/>
      <c r="B31" s="121" t="s">
        <v>17</v>
      </c>
      <c r="C31" s="1"/>
      <c r="D31" s="1"/>
      <c r="E31" s="1"/>
      <c r="F31" s="1"/>
      <c r="G31" s="1"/>
      <c r="H31" s="1"/>
      <c r="I31" s="1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1">
      <c r="A32" s="1"/>
      <c r="B32" s="118"/>
      <c r="C32" s="1"/>
      <c r="D32" s="1"/>
      <c r="E32" s="1"/>
      <c r="F32" s="1"/>
      <c r="G32" s="1"/>
      <c r="H32" s="1"/>
      <c r="I32" s="1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1">
      <c r="A33" s="16"/>
      <c r="B33" s="119" t="s">
        <v>18</v>
      </c>
      <c r="C33" s="120">
        <f>'Data Sheet'!G16</f>
        <v>44651</v>
      </c>
      <c r="D33" s="120">
        <f>'Data Sheet'!H16</f>
        <v>45016</v>
      </c>
      <c r="E33" s="120">
        <f>'Data Sheet'!I16</f>
        <v>45382</v>
      </c>
      <c r="F33" s="120">
        <f>'Data Sheet'!J16</f>
        <v>45747</v>
      </c>
      <c r="G33" s="120">
        <f>'Data Sheet'!K16</f>
        <v>46112</v>
      </c>
      <c r="H33" s="127" t="s">
        <v>19</v>
      </c>
      <c r="I33" s="13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4.25" customHeight="1" outlineLevel="1">
      <c r="A34" s="1"/>
      <c r="B34" s="99" t="s">
        <v>20</v>
      </c>
      <c r="C34" s="100">
        <f>'Data Sheet'!G17</f>
        <v>52446</v>
      </c>
      <c r="D34" s="100">
        <f>'Data Sheet'!H17</f>
        <v>60580</v>
      </c>
      <c r="E34" s="100">
        <f>'Data Sheet'!I17</f>
        <v>61896</v>
      </c>
      <c r="F34" s="100">
        <f>'Data Sheet'!J17</f>
        <v>61328</v>
      </c>
      <c r="G34" s="100">
        <f>'Data Sheet'!K17</f>
        <v>64468</v>
      </c>
      <c r="H34" s="1"/>
      <c r="I34" s="1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>
      <c r="A35" s="1"/>
      <c r="B35" s="101" t="s">
        <v>21</v>
      </c>
      <c r="C35" s="100"/>
      <c r="D35" s="102">
        <f t="shared" ref="D35:G35" si="0">D34/C34-1</f>
        <v>0.15509285741524614</v>
      </c>
      <c r="E35" s="102">
        <f t="shared" si="0"/>
        <v>2.1723341036645749E-2</v>
      </c>
      <c r="F35" s="102">
        <f t="shared" si="0"/>
        <v>-9.1766834690448773E-3</v>
      </c>
      <c r="G35" s="102">
        <f t="shared" si="0"/>
        <v>5.1200104356900589E-2</v>
      </c>
      <c r="H35" s="17">
        <f>_xlfn.RRI(4,C34,G34)</f>
        <v>5.2950503641758795E-2</v>
      </c>
      <c r="I35" s="1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1">
      <c r="A36" s="1"/>
      <c r="B36" s="101"/>
      <c r="C36" s="100"/>
      <c r="D36" s="102"/>
      <c r="E36" s="102"/>
      <c r="F36" s="102"/>
      <c r="G36" s="102"/>
      <c r="H36" s="1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1">
      <c r="A37" s="1"/>
      <c r="B37" s="99" t="s">
        <v>22</v>
      </c>
      <c r="C37" s="100">
        <f>SUM('Data Sheet'!G18,-'Data Sheet'!G19,'Data Sheet'!G20:G21)</f>
        <v>26521</v>
      </c>
      <c r="D37" s="100">
        <f>SUM('Data Sheet'!H18,-'Data Sheet'!H19,'Data Sheet'!H20:H21)</f>
        <v>32527</v>
      </c>
      <c r="E37" s="100">
        <f>SUM('Data Sheet'!I18,-'Data Sheet'!I19,'Data Sheet'!I20:I21)</f>
        <v>30642</v>
      </c>
      <c r="F37" s="100">
        <f>SUM('Data Sheet'!J18,-'Data Sheet'!J19,'Data Sheet'!J20:J21)</f>
        <v>30567</v>
      </c>
      <c r="G37" s="100">
        <f>SUM('Data Sheet'!K18,-'Data Sheet'!K19,'Data Sheet'!K20:K21)</f>
        <v>32459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1">
      <c r="A38" s="1"/>
      <c r="B38" s="101" t="s">
        <v>23</v>
      </c>
      <c r="C38" s="102">
        <f t="shared" ref="C38:G38" si="1">C37/C34</f>
        <v>0.50568203485489838</v>
      </c>
      <c r="D38" s="102">
        <f t="shared" si="1"/>
        <v>0.5369263783426873</v>
      </c>
      <c r="E38" s="102">
        <f t="shared" si="1"/>
        <v>0.49505622334238075</v>
      </c>
      <c r="F38" s="102">
        <f t="shared" si="1"/>
        <v>0.49841834072528046</v>
      </c>
      <c r="G38" s="102">
        <f t="shared" si="1"/>
        <v>0.50349010361729851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outlineLevel="1">
      <c r="A39" s="1"/>
      <c r="B39" s="101"/>
      <c r="C39" s="102"/>
      <c r="D39" s="102"/>
      <c r="E39" s="102"/>
      <c r="F39" s="102"/>
      <c r="G39" s="10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outlineLevel="1">
      <c r="A40" s="1"/>
      <c r="B40" s="103" t="s">
        <v>24</v>
      </c>
      <c r="C40" s="104">
        <f t="shared" ref="C40:G40" si="2">C34-C37</f>
        <v>25925</v>
      </c>
      <c r="D40" s="104">
        <f t="shared" si="2"/>
        <v>28053</v>
      </c>
      <c r="E40" s="104">
        <f t="shared" si="2"/>
        <v>31254</v>
      </c>
      <c r="F40" s="104">
        <f t="shared" si="2"/>
        <v>30761</v>
      </c>
      <c r="G40" s="104">
        <f t="shared" si="2"/>
        <v>32009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1">
      <c r="A41" s="1"/>
      <c r="B41" s="105" t="s">
        <v>25</v>
      </c>
      <c r="C41" s="106">
        <f t="shared" ref="C41:G41" si="3">C40/C34</f>
        <v>0.49431796514510162</v>
      </c>
      <c r="D41" s="106">
        <f t="shared" si="3"/>
        <v>0.46307362165731264</v>
      </c>
      <c r="E41" s="106">
        <f t="shared" si="3"/>
        <v>0.50494377665761925</v>
      </c>
      <c r="F41" s="106">
        <f t="shared" si="3"/>
        <v>0.50158165927471954</v>
      </c>
      <c r="G41" s="106">
        <f t="shared" si="3"/>
        <v>0.49650989638270149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1">
      <c r="A42" s="1"/>
      <c r="B42" s="105"/>
      <c r="C42" s="106"/>
      <c r="D42" s="106"/>
      <c r="E42" s="106"/>
      <c r="F42" s="106"/>
      <c r="G42" s="10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outlineLevel="1">
      <c r="A43" s="1"/>
      <c r="B43" s="99" t="s">
        <v>26</v>
      </c>
      <c r="C43" s="128">
        <f>SUM('Data Sheet'!G22:G24)</f>
        <v>13068</v>
      </c>
      <c r="D43" s="128">
        <f>SUM('Data Sheet'!H22:H24)</f>
        <v>13906</v>
      </c>
      <c r="E43" s="128">
        <f>SUM('Data Sheet'!I22:I24)</f>
        <v>16595</v>
      </c>
      <c r="F43" s="128">
        <f>SUM('Data Sheet'!J22:J24)</f>
        <v>16063</v>
      </c>
      <c r="G43" s="128">
        <f>SUM('Data Sheet'!K22:K24)</f>
        <v>16970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outlineLevel="1">
      <c r="A44" s="1"/>
      <c r="B44" s="101" t="s">
        <v>23</v>
      </c>
      <c r="C44" s="102">
        <f t="shared" ref="C44:G44" si="4">C43/C34</f>
        <v>0.24917057544903329</v>
      </c>
      <c r="D44" s="102">
        <f t="shared" si="4"/>
        <v>0.22954770551337075</v>
      </c>
      <c r="E44" s="102">
        <f t="shared" si="4"/>
        <v>0.26811102494506917</v>
      </c>
      <c r="F44" s="102">
        <f t="shared" si="4"/>
        <v>0.2619195147404122</v>
      </c>
      <c r="G44" s="102">
        <f t="shared" si="4"/>
        <v>0.26323137060246943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outlineLevel="1">
      <c r="A45" s="1"/>
      <c r="B45" s="101"/>
      <c r="C45" s="102"/>
      <c r="D45" s="102"/>
      <c r="E45" s="102"/>
      <c r="F45" s="102"/>
      <c r="G45" s="10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outlineLevel="1">
      <c r="A46" s="1"/>
      <c r="B46" s="103" t="s">
        <v>27</v>
      </c>
      <c r="C46" s="104">
        <f t="shared" ref="C46:G46" si="5">C40-C43</f>
        <v>12857</v>
      </c>
      <c r="D46" s="104">
        <f t="shared" si="5"/>
        <v>14147</v>
      </c>
      <c r="E46" s="104">
        <f t="shared" si="5"/>
        <v>14659</v>
      </c>
      <c r="F46" s="104">
        <f t="shared" si="5"/>
        <v>14698</v>
      </c>
      <c r="G46" s="104">
        <f t="shared" si="5"/>
        <v>15039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outlineLevel="1">
      <c r="A47" s="1"/>
      <c r="B47" s="105" t="s">
        <v>25</v>
      </c>
      <c r="C47" s="106">
        <f t="shared" ref="C47:G47" si="6">C46/C34</f>
        <v>0.24514738969606834</v>
      </c>
      <c r="D47" s="106">
        <f t="shared" si="6"/>
        <v>0.23352591614394189</v>
      </c>
      <c r="E47" s="106">
        <f t="shared" si="6"/>
        <v>0.23683275171255008</v>
      </c>
      <c r="F47" s="106">
        <f t="shared" si="6"/>
        <v>0.23966214453430734</v>
      </c>
      <c r="G47" s="106">
        <f t="shared" si="6"/>
        <v>0.23327852578023206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outlineLevel="1">
      <c r="A48" s="1"/>
      <c r="B48" s="105"/>
      <c r="C48" s="106"/>
      <c r="D48" s="106"/>
      <c r="E48" s="106"/>
      <c r="F48" s="106"/>
      <c r="G48" s="10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outlineLevel="1">
      <c r="A49" s="1"/>
      <c r="B49" s="99" t="s">
        <v>28</v>
      </c>
      <c r="C49" s="128">
        <f>'Data Sheet'!G26</f>
        <v>1091</v>
      </c>
      <c r="D49" s="128">
        <f>'Data Sheet'!H26</f>
        <v>1137</v>
      </c>
      <c r="E49" s="128">
        <f>'Data Sheet'!I26</f>
        <v>1216</v>
      </c>
      <c r="F49" s="128">
        <f>'Data Sheet'!J26</f>
        <v>1253</v>
      </c>
      <c r="G49" s="128">
        <f>'Data Sheet'!K26</f>
        <v>1333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outlineLevel="1">
      <c r="A50" s="1"/>
      <c r="B50" s="101" t="s">
        <v>29</v>
      </c>
      <c r="C50" s="148">
        <f t="shared" ref="C50:G50" si="7">C49/C34</f>
        <v>2.0802349082866187E-2</v>
      </c>
      <c r="D50" s="148">
        <f t="shared" si="7"/>
        <v>1.8768570485308684E-2</v>
      </c>
      <c r="E50" s="148">
        <f t="shared" si="7"/>
        <v>1.9645857567532635E-2</v>
      </c>
      <c r="F50" s="148">
        <f t="shared" si="7"/>
        <v>2.0431124445603965E-2</v>
      </c>
      <c r="G50" s="148">
        <f t="shared" si="7"/>
        <v>2.0676924986039586E-2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outlineLevel="1">
      <c r="A51" s="1"/>
      <c r="B51" s="101"/>
      <c r="C51" s="102"/>
      <c r="D51" s="102"/>
      <c r="E51" s="102"/>
      <c r="F51" s="102"/>
      <c r="G51" s="10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outlineLevel="1">
      <c r="A52" s="1"/>
      <c r="B52" s="103" t="s">
        <v>30</v>
      </c>
      <c r="C52" s="104">
        <f t="shared" ref="C52:G52" si="8">C46-C49</f>
        <v>11766</v>
      </c>
      <c r="D52" s="104">
        <f t="shared" si="8"/>
        <v>13010</v>
      </c>
      <c r="E52" s="104">
        <f t="shared" si="8"/>
        <v>13443</v>
      </c>
      <c r="F52" s="104">
        <f t="shared" si="8"/>
        <v>13445</v>
      </c>
      <c r="G52" s="104">
        <f t="shared" si="8"/>
        <v>13706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outlineLevel="1">
      <c r="A53" s="1"/>
      <c r="B53" s="105" t="s">
        <v>25</v>
      </c>
      <c r="C53" s="106">
        <f t="shared" ref="C53:G53" si="9">C52/C34</f>
        <v>0.22434504061320215</v>
      </c>
      <c r="D53" s="106">
        <f t="shared" si="9"/>
        <v>0.21475734565863322</v>
      </c>
      <c r="E53" s="106">
        <f t="shared" si="9"/>
        <v>0.21718689414501746</v>
      </c>
      <c r="F53" s="106">
        <f t="shared" si="9"/>
        <v>0.21923102008870338</v>
      </c>
      <c r="G53" s="106">
        <f t="shared" si="9"/>
        <v>0.21260160079419246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outlineLevel="1">
      <c r="A54" s="1"/>
      <c r="B54" s="105"/>
      <c r="C54" s="106"/>
      <c r="D54" s="106"/>
      <c r="E54" s="106"/>
      <c r="F54" s="106"/>
      <c r="G54" s="10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outlineLevel="1">
      <c r="A55" s="1"/>
      <c r="B55" s="99" t="s">
        <v>31</v>
      </c>
      <c r="C55" s="128">
        <f>'Data Sheet'!G25</f>
        <v>219</v>
      </c>
      <c r="D55" s="128">
        <f>'Data Sheet'!H25</f>
        <v>448</v>
      </c>
      <c r="E55" s="128">
        <f>'Data Sheet'!I25</f>
        <v>817</v>
      </c>
      <c r="F55" s="128">
        <f>'Data Sheet'!J25</f>
        <v>1355</v>
      </c>
      <c r="G55" s="128">
        <f>'Data Sheet'!K25</f>
        <v>4923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outlineLevel="1">
      <c r="A56" s="1"/>
      <c r="B56" s="99"/>
      <c r="C56" s="100"/>
      <c r="D56" s="100"/>
      <c r="E56" s="100"/>
      <c r="F56" s="100"/>
      <c r="G56" s="10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outlineLevel="1">
      <c r="A57" s="1"/>
      <c r="B57" s="99" t="s">
        <v>32</v>
      </c>
      <c r="C57" s="128">
        <f>'Data Sheet'!G27</f>
        <v>106</v>
      </c>
      <c r="D57" s="128">
        <f>'Data Sheet'!H27</f>
        <v>114</v>
      </c>
      <c r="E57" s="128">
        <f>'Data Sheet'!I27</f>
        <v>334</v>
      </c>
      <c r="F57" s="128">
        <f>'Data Sheet'!J27</f>
        <v>381</v>
      </c>
      <c r="G57" s="128">
        <f>'Data Sheet'!K27</f>
        <v>410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outlineLevel="1">
      <c r="A58" s="1"/>
      <c r="B58" s="101" t="s">
        <v>33</v>
      </c>
      <c r="C58" s="102">
        <f>C57/'Data Sheet'!G59</f>
        <v>0.10162991371045062</v>
      </c>
      <c r="D58" s="102">
        <f>D57/'Data Sheet'!H59</f>
        <v>9.3519278096800662E-2</v>
      </c>
      <c r="E58" s="102">
        <f>E57/'Data Sheet'!I59</f>
        <v>0.22506738544474394</v>
      </c>
      <c r="F58" s="102">
        <f>F57/'Data Sheet'!J59</f>
        <v>0.23118932038834952</v>
      </c>
      <c r="G58" s="102">
        <f>G57/'Data Sheet'!K59</f>
        <v>0.27740189445196212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outlineLevel="1">
      <c r="A59" s="1"/>
      <c r="B59" s="101"/>
      <c r="C59" s="102"/>
      <c r="D59" s="102"/>
      <c r="E59" s="102"/>
      <c r="F59" s="102"/>
      <c r="G59" s="10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outlineLevel="1">
      <c r="A60" s="1"/>
      <c r="B60" s="103" t="s">
        <v>34</v>
      </c>
      <c r="C60" s="104">
        <f t="shared" ref="C60:G60" si="10">C52+C55-C57</f>
        <v>11879</v>
      </c>
      <c r="D60" s="104">
        <f t="shared" si="10"/>
        <v>13344</v>
      </c>
      <c r="E60" s="104">
        <f t="shared" si="10"/>
        <v>13926</v>
      </c>
      <c r="F60" s="104">
        <f t="shared" si="10"/>
        <v>14419</v>
      </c>
      <c r="G60" s="104">
        <f t="shared" si="10"/>
        <v>18219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outlineLevel="1">
      <c r="A61" s="1"/>
      <c r="B61" s="105" t="s">
        <v>23</v>
      </c>
      <c r="C61" s="106">
        <f t="shared" ref="C61:G61" si="11">C60/C34</f>
        <v>0.22649963772260992</v>
      </c>
      <c r="D61" s="106">
        <f t="shared" si="11"/>
        <v>0.22027071640805546</v>
      </c>
      <c r="E61" s="106">
        <f t="shared" si="11"/>
        <v>0.22499030632027917</v>
      </c>
      <c r="F61" s="106">
        <f t="shared" si="11"/>
        <v>0.2351128358987738</v>
      </c>
      <c r="G61" s="106">
        <f t="shared" si="11"/>
        <v>0.28260532357138424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outlineLevel="1">
      <c r="A62" s="1"/>
      <c r="B62" s="105"/>
      <c r="C62" s="106"/>
      <c r="D62" s="106"/>
      <c r="E62" s="106"/>
      <c r="F62" s="106"/>
      <c r="G62" s="10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outlineLevel="1">
      <c r="A63" s="1"/>
      <c r="B63" s="99" t="s">
        <v>35</v>
      </c>
      <c r="C63" s="128">
        <f>'Data Sheet'!G29</f>
        <v>2987</v>
      </c>
      <c r="D63" s="128">
        <f>'Data Sheet'!H29</f>
        <v>3201</v>
      </c>
      <c r="E63" s="128">
        <f>'Data Sheet'!I29</f>
        <v>3644</v>
      </c>
      <c r="F63" s="128">
        <f>'Data Sheet'!J29</f>
        <v>3748</v>
      </c>
      <c r="G63" s="128">
        <f>'Data Sheet'!K29</f>
        <v>3160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outlineLevel="1">
      <c r="A64" s="1"/>
      <c r="B64" s="101" t="s">
        <v>36</v>
      </c>
      <c r="C64" s="102">
        <f t="shared" ref="C64:G64" si="12">C63/C60</f>
        <v>0.25145214243623198</v>
      </c>
      <c r="D64" s="102">
        <f t="shared" si="12"/>
        <v>0.23988309352517986</v>
      </c>
      <c r="E64" s="102">
        <f t="shared" si="12"/>
        <v>0.26166882091052707</v>
      </c>
      <c r="F64" s="102">
        <f t="shared" si="12"/>
        <v>0.2599348082391289</v>
      </c>
      <c r="G64" s="102">
        <f t="shared" si="12"/>
        <v>0.17344530435259894</v>
      </c>
      <c r="H64" s="1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outlineLevel="1">
      <c r="A65" s="1"/>
      <c r="B65" s="101"/>
      <c r="C65" s="102"/>
      <c r="D65" s="102"/>
      <c r="E65" s="102"/>
      <c r="F65" s="102"/>
      <c r="G65" s="102"/>
      <c r="H65" s="1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outlineLevel="1">
      <c r="A66" s="1"/>
      <c r="B66" s="103" t="s">
        <v>37</v>
      </c>
      <c r="C66" s="104">
        <f t="shared" ref="C66:G66" si="13">C60-C63</f>
        <v>8892</v>
      </c>
      <c r="D66" s="104">
        <f t="shared" si="13"/>
        <v>10143</v>
      </c>
      <c r="E66" s="104">
        <f t="shared" si="13"/>
        <v>10282</v>
      </c>
      <c r="F66" s="104">
        <f t="shared" si="13"/>
        <v>10671</v>
      </c>
      <c r="G66" s="104">
        <f t="shared" si="13"/>
        <v>15059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outlineLevel="1">
      <c r="A67" s="1"/>
      <c r="B67" s="105" t="s">
        <v>23</v>
      </c>
      <c r="C67" s="106">
        <f t="shared" ref="C67:G67" si="14">C66/C34</f>
        <v>0.16954581855622927</v>
      </c>
      <c r="D67" s="106">
        <f t="shared" si="14"/>
        <v>0.16743149554308354</v>
      </c>
      <c r="E67" s="106">
        <f t="shared" si="14"/>
        <v>0.16611735814915343</v>
      </c>
      <c r="F67" s="106">
        <f t="shared" si="14"/>
        <v>0.17399882598486824</v>
      </c>
      <c r="G67" s="106">
        <f t="shared" si="14"/>
        <v>0.2335887572128808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outlineLevel="1">
      <c r="A68" s="1"/>
      <c r="B68" s="2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outlineLevel="1">
      <c r="A69" s="1"/>
      <c r="B69" s="121" t="s">
        <v>38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outlineLevel="1">
      <c r="A70" s="1"/>
      <c r="B70" s="12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outlineLevel="1">
      <c r="A71" s="16"/>
      <c r="B71" s="144" t="s">
        <v>18</v>
      </c>
      <c r="C71" s="145">
        <f>'Data Sheet'!G56</f>
        <v>44651</v>
      </c>
      <c r="D71" s="145">
        <f>'Data Sheet'!H56</f>
        <v>45016</v>
      </c>
      <c r="E71" s="145">
        <f>'Data Sheet'!I56</f>
        <v>45382</v>
      </c>
      <c r="F71" s="145">
        <f>'Data Sheet'!J56</f>
        <v>45747</v>
      </c>
      <c r="G71" s="145">
        <f>'Data Sheet'!K56</f>
        <v>46112</v>
      </c>
      <c r="H71" s="143"/>
      <c r="I71" s="143"/>
      <c r="J71" s="143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.25" customHeight="1" outlineLevel="1">
      <c r="A72" s="1"/>
      <c r="B72" s="21" t="s">
        <v>39</v>
      </c>
      <c r="C72" s="1">
        <f>'Data Sheet'!G57</f>
        <v>235</v>
      </c>
      <c r="D72" s="1">
        <f>'Data Sheet'!H57</f>
        <v>235</v>
      </c>
      <c r="E72" s="1">
        <f>'Data Sheet'!I57</f>
        <v>235</v>
      </c>
      <c r="F72" s="1">
        <f>'Data Sheet'!J57</f>
        <v>235</v>
      </c>
      <c r="G72" s="1">
        <f>'Data Sheet'!K57</f>
        <v>235</v>
      </c>
      <c r="H72" s="112"/>
      <c r="I72" s="112"/>
      <c r="J72" s="11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outlineLevel="1">
      <c r="A73" s="1"/>
      <c r="B73" s="21" t="s">
        <v>40</v>
      </c>
      <c r="C73" s="1">
        <f>'Data Sheet'!G58</f>
        <v>48826</v>
      </c>
      <c r="D73" s="1">
        <f>'Data Sheet'!H58</f>
        <v>50069</v>
      </c>
      <c r="E73" s="1">
        <f>'Data Sheet'!I58</f>
        <v>50983</v>
      </c>
      <c r="F73" s="1">
        <f>'Data Sheet'!J58</f>
        <v>49167</v>
      </c>
      <c r="G73" s="1">
        <f>'Data Sheet'!K58</f>
        <v>48504</v>
      </c>
      <c r="H73" s="112"/>
      <c r="I73" s="112"/>
      <c r="J73" s="11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outlineLevel="1">
      <c r="A74" s="1"/>
      <c r="B74" s="21" t="s">
        <v>41</v>
      </c>
      <c r="C74" s="1">
        <f>'Data Sheet'!G59</f>
        <v>1043</v>
      </c>
      <c r="D74" s="1">
        <f>'Data Sheet'!H59</f>
        <v>1219</v>
      </c>
      <c r="E74" s="1">
        <f>'Data Sheet'!I59</f>
        <v>1484</v>
      </c>
      <c r="F74" s="1">
        <f>'Data Sheet'!J59</f>
        <v>1648</v>
      </c>
      <c r="G74" s="1">
        <f>'Data Sheet'!K59</f>
        <v>1478</v>
      </c>
      <c r="H74" s="112"/>
      <c r="I74" s="112"/>
      <c r="J74" s="11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outlineLevel="1" thickBot="1">
      <c r="A75" s="1"/>
      <c r="B75" s="21" t="s">
        <v>42</v>
      </c>
      <c r="C75" s="1">
        <f>'Data Sheet'!G60</f>
        <v>20402</v>
      </c>
      <c r="D75" s="1">
        <f>'Data Sheet'!H60</f>
        <v>21554</v>
      </c>
      <c r="E75" s="1">
        <f>'Data Sheet'!I60</f>
        <v>25787</v>
      </c>
      <c r="F75" s="1">
        <f>'Data Sheet'!J60</f>
        <v>28813</v>
      </c>
      <c r="G75" s="1">
        <f>'Data Sheet'!K60</f>
        <v>29521</v>
      </c>
      <c r="H75" s="112"/>
      <c r="I75" s="112"/>
      <c r="J75" s="11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outlineLevel="1" thickBot="1">
      <c r="A76" s="1"/>
      <c r="B76" s="18" t="s">
        <v>43</v>
      </c>
      <c r="C76" s="19">
        <f t="shared" ref="C76:G76" si="15">SUM(C72:C75)</f>
        <v>70506</v>
      </c>
      <c r="D76" s="19">
        <f t="shared" si="15"/>
        <v>73077</v>
      </c>
      <c r="E76" s="19">
        <f t="shared" si="15"/>
        <v>78489</v>
      </c>
      <c r="F76" s="19">
        <f t="shared" si="15"/>
        <v>79863</v>
      </c>
      <c r="G76" s="19">
        <f t="shared" si="15"/>
        <v>79738</v>
      </c>
      <c r="H76" s="112"/>
      <c r="I76" s="112"/>
      <c r="J76" s="11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outlineLevel="1">
      <c r="A77" s="1"/>
      <c r="B77" s="21" t="s">
        <v>44</v>
      </c>
      <c r="C77" s="1">
        <f>'Data Sheet'!G62</f>
        <v>51473</v>
      </c>
      <c r="D77" s="1">
        <f>'Data Sheet'!H62</f>
        <v>52678</v>
      </c>
      <c r="E77" s="1">
        <f>'Data Sheet'!I62</f>
        <v>53744</v>
      </c>
      <c r="F77" s="1">
        <f>'Data Sheet'!J62</f>
        <v>54335</v>
      </c>
      <c r="G77" s="1">
        <f>'Data Sheet'!K62</f>
        <v>57428</v>
      </c>
      <c r="H77" s="112"/>
      <c r="I77" s="112"/>
      <c r="J77" s="11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outlineLevel="1">
      <c r="A78" s="1"/>
      <c r="B78" s="21" t="s">
        <v>45</v>
      </c>
      <c r="C78" s="1">
        <f>'Data Sheet'!G63</f>
        <v>1313</v>
      </c>
      <c r="D78" s="1">
        <f>'Data Sheet'!H63</f>
        <v>1132</v>
      </c>
      <c r="E78" s="1">
        <f>'Data Sheet'!I63</f>
        <v>1025</v>
      </c>
      <c r="F78" s="1">
        <f>'Data Sheet'!J63</f>
        <v>1009</v>
      </c>
      <c r="G78" s="1">
        <f>'Data Sheet'!K63</f>
        <v>880</v>
      </c>
      <c r="H78" s="112"/>
      <c r="I78" s="112"/>
      <c r="J78" s="11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outlineLevel="1">
      <c r="A79" s="1"/>
      <c r="B79" s="21" t="s">
        <v>46</v>
      </c>
      <c r="C79" s="1">
        <f>'Data Sheet'!G64</f>
        <v>3521</v>
      </c>
      <c r="D79" s="1">
        <f>'Data Sheet'!H64</f>
        <v>2882</v>
      </c>
      <c r="E79" s="1">
        <f>'Data Sheet'!I64</f>
        <v>4625</v>
      </c>
      <c r="F79" s="1">
        <f>'Data Sheet'!J64</f>
        <v>3810</v>
      </c>
      <c r="G79" s="1">
        <f>'Data Sheet'!K64</f>
        <v>4359</v>
      </c>
      <c r="H79" s="112"/>
      <c r="I79" s="112"/>
      <c r="J79" s="11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outlineLevel="1">
      <c r="A80" s="1"/>
      <c r="B80" s="21" t="s">
        <v>47</v>
      </c>
      <c r="C80" s="1">
        <f>'Data Sheet'!G67</f>
        <v>2236</v>
      </c>
      <c r="D80" s="1">
        <f>'Data Sheet'!H67</f>
        <v>3079</v>
      </c>
      <c r="E80" s="1">
        <f>'Data Sheet'!I67</f>
        <v>2997</v>
      </c>
      <c r="F80" s="1">
        <f>'Data Sheet'!J67</f>
        <v>3819</v>
      </c>
      <c r="G80" s="1">
        <f>'Data Sheet'!K67</f>
        <v>3379</v>
      </c>
      <c r="H80" s="112"/>
      <c r="I80" s="112"/>
      <c r="J80" s="11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outlineLevel="1">
      <c r="A81" s="1"/>
      <c r="B81" s="21" t="s">
        <v>48</v>
      </c>
      <c r="C81" s="1">
        <f>'Data Sheet'!G68</f>
        <v>4096</v>
      </c>
      <c r="D81" s="1">
        <f>'Data Sheet'!H68</f>
        <v>4251</v>
      </c>
      <c r="E81" s="1">
        <f>'Data Sheet'!I68</f>
        <v>4022</v>
      </c>
      <c r="F81" s="1">
        <f>'Data Sheet'!J68</f>
        <v>4415</v>
      </c>
      <c r="G81" s="1">
        <f>'Data Sheet'!K68</f>
        <v>4789</v>
      </c>
      <c r="H81" s="112"/>
      <c r="I81" s="112"/>
      <c r="J81" s="11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outlineLevel="1">
      <c r="A82" s="1"/>
      <c r="B82" s="21" t="s">
        <v>49</v>
      </c>
      <c r="C82" s="1">
        <f>'Data Sheet'!G69</f>
        <v>3846</v>
      </c>
      <c r="D82" s="1">
        <f>'Data Sheet'!H69</f>
        <v>4678</v>
      </c>
      <c r="E82" s="1">
        <f>'Data Sheet'!I69</f>
        <v>7559</v>
      </c>
      <c r="F82" s="1">
        <f>'Data Sheet'!J69</f>
        <v>7554</v>
      </c>
      <c r="G82" s="1">
        <f>'Data Sheet'!K69</f>
        <v>3248</v>
      </c>
      <c r="H82" s="112"/>
      <c r="I82" s="112"/>
      <c r="J82" s="11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outlineLevel="1" thickBot="1">
      <c r="A83" s="1"/>
      <c r="B83" s="21" t="s">
        <v>50</v>
      </c>
      <c r="C83" s="1">
        <f>'Data Sheet'!G65-SUM('Data Sheet'!G67:G69)</f>
        <v>4021</v>
      </c>
      <c r="D83" s="1">
        <f>'Data Sheet'!H65-SUM('Data Sheet'!H67:H69)</f>
        <v>4377</v>
      </c>
      <c r="E83" s="1">
        <f>'Data Sheet'!I65-SUM('Data Sheet'!I67:I69)</f>
        <v>4517</v>
      </c>
      <c r="F83" s="1">
        <f>'Data Sheet'!J65-SUM('Data Sheet'!J67:J69)</f>
        <v>4921</v>
      </c>
      <c r="G83" s="1">
        <f>'Data Sheet'!K65-SUM('Data Sheet'!K67:K69)</f>
        <v>5655</v>
      </c>
      <c r="H83" s="112"/>
      <c r="I83" s="112"/>
      <c r="J83" s="11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outlineLevel="1" thickBot="1">
      <c r="A84" s="1"/>
      <c r="B84" s="18" t="s">
        <v>43</v>
      </c>
      <c r="C84" s="19">
        <f t="shared" ref="C84:G84" si="16">SUM(C77:C83)</f>
        <v>70506</v>
      </c>
      <c r="D84" s="19">
        <f t="shared" si="16"/>
        <v>73077</v>
      </c>
      <c r="E84" s="19">
        <f t="shared" si="16"/>
        <v>78489</v>
      </c>
      <c r="F84" s="19">
        <f t="shared" si="16"/>
        <v>79863</v>
      </c>
      <c r="G84" s="19">
        <f t="shared" si="16"/>
        <v>79738</v>
      </c>
      <c r="H84" s="112"/>
      <c r="I84" s="112"/>
      <c r="J84" s="11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8"/>
      <c r="C85" s="1"/>
      <c r="D85" s="1"/>
      <c r="E85" s="1"/>
      <c r="F85" s="1"/>
      <c r="G85" s="1"/>
      <c r="H85" s="112"/>
      <c r="I85" s="112"/>
      <c r="J85" s="11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2" customHeight="1">
      <c r="A86" s="1"/>
      <c r="B86" s="130" t="s">
        <v>51</v>
      </c>
      <c r="C86" s="107"/>
      <c r="D86" s="107"/>
      <c r="E86" s="107"/>
      <c r="F86" s="108"/>
      <c r="G86" s="131"/>
      <c r="H86" s="108"/>
      <c r="I86" s="112"/>
      <c r="J86" s="11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s="117" customFormat="1" ht="14.25" customHeight="1">
      <c r="A87" s="112"/>
      <c r="B87" s="132"/>
      <c r="C87" s="133"/>
      <c r="D87" s="133"/>
      <c r="E87" s="133"/>
      <c r="F87" s="112"/>
      <c r="G87" s="134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ht="14.25" hidden="1" customHeight="1" outlineLevel="1">
      <c r="A88" s="1"/>
      <c r="B88" s="146" t="s">
        <v>52</v>
      </c>
      <c r="C88" s="147" t="s">
        <v>53</v>
      </c>
      <c r="D88" s="147" t="s">
        <v>54</v>
      </c>
      <c r="E88" s="147" t="s">
        <v>55</v>
      </c>
      <c r="F88" s="147" t="s">
        <v>56</v>
      </c>
      <c r="G88" s="147" t="s">
        <v>195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hidden="1" customHeight="1" outlineLevel="1">
      <c r="A89" s="1"/>
      <c r="B89" s="10" t="s">
        <v>57</v>
      </c>
      <c r="C89" s="13">
        <f t="array" ref="C89:G89">CHOOSE(D91,C92:G92,C93:G93,C94:G94)</f>
        <v>7.0000000000000007E-2</v>
      </c>
      <c r="D89" s="13">
        <v>6.0000000000000005E-2</v>
      </c>
      <c r="E89" s="13">
        <v>0.05</v>
      </c>
      <c r="F89" s="13">
        <v>0.04</v>
      </c>
      <c r="G89" s="13">
        <v>0.03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hidden="1" customHeight="1" outlineLevel="1">
      <c r="A90" s="1"/>
      <c r="B90" s="10" t="s">
        <v>58</v>
      </c>
      <c r="C90" s="22">
        <f>G34*(1+C89)</f>
        <v>68980.760000000009</v>
      </c>
      <c r="D90" s="22">
        <f t="shared" ref="D90:G90" si="17">C90*(1+D89)</f>
        <v>73119.60560000001</v>
      </c>
      <c r="E90" s="22">
        <f t="shared" si="17"/>
        <v>76775.585880000013</v>
      </c>
      <c r="F90" s="22">
        <f t="shared" si="17"/>
        <v>79846.60931520001</v>
      </c>
      <c r="G90" s="22">
        <f t="shared" si="17"/>
        <v>82242.00759465601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hidden="1" customHeight="1" outlineLevel="1">
      <c r="A91" s="1"/>
      <c r="B91" s="23" t="s">
        <v>59</v>
      </c>
      <c r="C91" s="135" t="s">
        <v>60</v>
      </c>
      <c r="D91" s="24">
        <f>MATCH(C91,B92:B94,0)</f>
        <v>1</v>
      </c>
      <c r="E91" s="25"/>
      <c r="F91" s="25"/>
      <c r="G91" s="2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hidden="1" customHeight="1" outlineLevel="1">
      <c r="A92" s="1"/>
      <c r="B92" s="27" t="s">
        <v>60</v>
      </c>
      <c r="C92" s="28">
        <f>C22</f>
        <v>7.0000000000000007E-2</v>
      </c>
      <c r="D92" s="28">
        <f t="shared" ref="D92:G94" si="18">C92-Taper_rate</f>
        <v>6.0000000000000005E-2</v>
      </c>
      <c r="E92" s="28">
        <f t="shared" si="18"/>
        <v>0.05</v>
      </c>
      <c r="F92" s="28">
        <f t="shared" si="18"/>
        <v>0.04</v>
      </c>
      <c r="G92" s="29">
        <f t="shared" si="18"/>
        <v>0.03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hidden="1" customHeight="1" outlineLevel="1">
      <c r="A93" s="1"/>
      <c r="B93" s="30" t="s">
        <v>61</v>
      </c>
      <c r="C93" s="28">
        <f>C92+4%</f>
        <v>0.11000000000000001</v>
      </c>
      <c r="D93" s="28">
        <f t="shared" si="18"/>
        <v>0.10000000000000002</v>
      </c>
      <c r="E93" s="28">
        <f t="shared" si="18"/>
        <v>9.0000000000000024E-2</v>
      </c>
      <c r="F93" s="28">
        <f t="shared" si="18"/>
        <v>8.0000000000000029E-2</v>
      </c>
      <c r="G93" s="29">
        <f t="shared" si="18"/>
        <v>7.0000000000000034E-2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hidden="1" customHeight="1" outlineLevel="1">
      <c r="A94" s="1"/>
      <c r="B94" s="30" t="s">
        <v>62</v>
      </c>
      <c r="C94" s="28">
        <f>C92-4%</f>
        <v>3.0000000000000006E-2</v>
      </c>
      <c r="D94" s="28">
        <f t="shared" si="18"/>
        <v>2.0000000000000004E-2</v>
      </c>
      <c r="E94" s="28">
        <f t="shared" si="18"/>
        <v>1.0000000000000004E-2</v>
      </c>
      <c r="F94" s="28">
        <f t="shared" si="18"/>
        <v>0</v>
      </c>
      <c r="G94" s="29">
        <f t="shared" si="18"/>
        <v>-0.01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collapsed="1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2" customHeight="1">
      <c r="A96" s="1"/>
      <c r="B96" s="125" t="s">
        <v>63</v>
      </c>
      <c r="C96" s="109"/>
      <c r="D96" s="109"/>
      <c r="E96" s="109"/>
      <c r="F96" s="110"/>
      <c r="G96" s="110"/>
      <c r="H96" s="11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s="117" customFormat="1" ht="25.2" customHeight="1" thickBot="1">
      <c r="A97" s="112"/>
      <c r="B97" s="211"/>
      <c r="C97" s="115"/>
      <c r="D97" s="115"/>
      <c r="E97" s="115"/>
      <c r="F97" s="116"/>
      <c r="G97" s="116"/>
      <c r="H97" s="116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ht="14.25" customHeight="1" outlineLevel="1" thickBot="1">
      <c r="A98" s="1"/>
      <c r="B98" s="146" t="s">
        <v>18</v>
      </c>
      <c r="C98" s="147" t="str">
        <f>C88</f>
        <v>FY27E</v>
      </c>
      <c r="D98" s="147" t="str">
        <f>D88</f>
        <v>FY28E</v>
      </c>
      <c r="E98" s="147" t="str">
        <f>E88</f>
        <v>FY29E</v>
      </c>
      <c r="F98" s="147" t="str">
        <f>F88</f>
        <v>FY30E</v>
      </c>
      <c r="G98" s="147" t="str">
        <f>G88</f>
        <v>FY31E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outlineLevel="1" thickBot="1">
      <c r="A99" s="1"/>
      <c r="B99" s="10" t="s">
        <v>64</v>
      </c>
      <c r="C99" s="31">
        <f>C90</f>
        <v>68980.760000000009</v>
      </c>
      <c r="D99" s="31">
        <f>D90</f>
        <v>73119.60560000001</v>
      </c>
      <c r="E99" s="31">
        <f>E90</f>
        <v>76775.585880000013</v>
      </c>
      <c r="F99" s="31">
        <f>F90</f>
        <v>79846.60931520001</v>
      </c>
      <c r="G99" s="31">
        <f>G90</f>
        <v>82242.00759465601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outlineLevel="1" thickBot="1">
      <c r="A100" s="1"/>
      <c r="B100" s="10" t="s">
        <v>65</v>
      </c>
      <c r="C100" s="13">
        <f>G47</f>
        <v>0.23327852578023206</v>
      </c>
      <c r="D100" s="13">
        <f t="shared" ref="D100:G100" si="19">C100</f>
        <v>0.23327852578023206</v>
      </c>
      <c r="E100" s="13">
        <f t="shared" si="19"/>
        <v>0.23327852578023206</v>
      </c>
      <c r="F100" s="13">
        <f t="shared" si="19"/>
        <v>0.23327852578023206</v>
      </c>
      <c r="G100" s="13">
        <f t="shared" si="19"/>
        <v>0.23327852578023206</v>
      </c>
      <c r="H100" s="1"/>
      <c r="I100" s="1"/>
      <c r="J100" s="1"/>
      <c r="K100" s="1"/>
      <c r="L100" s="1"/>
      <c r="M100" s="1"/>
      <c r="N100" s="1"/>
      <c r="O100" s="1"/>
      <c r="P100" s="1"/>
      <c r="Q100" s="32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outlineLevel="1" thickBot="1">
      <c r="A101" s="1"/>
      <c r="B101" s="10" t="s">
        <v>27</v>
      </c>
      <c r="C101" s="31">
        <f t="shared" ref="C101:G101" si="20">C99*C100</f>
        <v>16091.730000000003</v>
      </c>
      <c r="D101" s="31">
        <f t="shared" si="20"/>
        <v>17057.233800000002</v>
      </c>
      <c r="E101" s="31">
        <f t="shared" si="20"/>
        <v>17910.095490000003</v>
      </c>
      <c r="F101" s="31">
        <f t="shared" si="20"/>
        <v>18626.499309600003</v>
      </c>
      <c r="G101" s="31">
        <f t="shared" si="20"/>
        <v>19185.294288888002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outlineLevel="1" thickBot="1">
      <c r="A102" s="1"/>
      <c r="B102" s="10" t="s">
        <v>66</v>
      </c>
      <c r="C102" s="31">
        <f t="shared" ref="C102:G102" si="21">C99*2%</f>
        <v>1379.6152000000002</v>
      </c>
      <c r="D102" s="31">
        <f t="shared" si="21"/>
        <v>1462.3921120000002</v>
      </c>
      <c r="E102" s="31">
        <f t="shared" si="21"/>
        <v>1535.5117176000003</v>
      </c>
      <c r="F102" s="31">
        <f t="shared" si="21"/>
        <v>1596.9321863040002</v>
      </c>
      <c r="G102" s="31">
        <f t="shared" si="21"/>
        <v>1644.8401518931203</v>
      </c>
      <c r="H102" s="1"/>
      <c r="I102" s="1"/>
      <c r="J102" s="1"/>
      <c r="K102" s="1"/>
      <c r="L102" s="1"/>
      <c r="M102" s="1"/>
      <c r="N102" s="1"/>
      <c r="O102" s="1"/>
      <c r="P102" s="1"/>
      <c r="Q102" s="32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outlineLevel="1" thickBot="1">
      <c r="A103" s="1"/>
      <c r="B103" s="10" t="s">
        <v>30</v>
      </c>
      <c r="C103" s="31">
        <f t="shared" ref="C103:G103" si="22">C101-C102</f>
        <v>14712.114800000003</v>
      </c>
      <c r="D103" s="31">
        <f t="shared" si="22"/>
        <v>15594.841688000002</v>
      </c>
      <c r="E103" s="31">
        <f t="shared" si="22"/>
        <v>16374.583772400003</v>
      </c>
      <c r="F103" s="31">
        <f t="shared" si="22"/>
        <v>17029.567123296005</v>
      </c>
      <c r="G103" s="31">
        <f t="shared" si="22"/>
        <v>17540.454136994882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outlineLevel="1" thickBot="1">
      <c r="A104" s="1"/>
      <c r="B104" s="10" t="s">
        <v>67</v>
      </c>
      <c r="C104" s="31">
        <f>C103*Tax_rate</f>
        <v>3678.0287000000008</v>
      </c>
      <c r="D104" s="31">
        <f>D103*Tax_rate</f>
        <v>3898.7104220000006</v>
      </c>
      <c r="E104" s="31">
        <f>E103*Tax_rate</f>
        <v>4093.6459431000007</v>
      </c>
      <c r="F104" s="31">
        <f>F103*Tax_rate</f>
        <v>4257.3917808240012</v>
      </c>
      <c r="G104" s="31">
        <f>G103*Tax_rate</f>
        <v>4385.1135342487205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outlineLevel="1" thickBot="1">
      <c r="A105" s="1"/>
      <c r="B105" s="10" t="s">
        <v>68</v>
      </c>
      <c r="C105" s="31">
        <f t="shared" ref="C105:G105" si="23">C103-C104</f>
        <v>11034.086100000002</v>
      </c>
      <c r="D105" s="31">
        <f t="shared" si="23"/>
        <v>11696.131266000002</v>
      </c>
      <c r="E105" s="31">
        <f t="shared" si="23"/>
        <v>12280.937829300003</v>
      </c>
      <c r="F105" s="31">
        <f t="shared" si="23"/>
        <v>12772.175342472005</v>
      </c>
      <c r="G105" s="31">
        <f t="shared" si="23"/>
        <v>13155.340602746161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outlineLevel="1" thickBot="1">
      <c r="A106" s="1"/>
      <c r="B106" s="10" t="s">
        <v>69</v>
      </c>
      <c r="C106" s="31">
        <f t="shared" ref="C106:G106" si="24">C102</f>
        <v>1379.6152000000002</v>
      </c>
      <c r="D106" s="31">
        <f t="shared" si="24"/>
        <v>1462.3921120000002</v>
      </c>
      <c r="E106" s="31">
        <f t="shared" si="24"/>
        <v>1535.5117176000003</v>
      </c>
      <c r="F106" s="31">
        <f t="shared" si="24"/>
        <v>1596.9321863040002</v>
      </c>
      <c r="G106" s="31">
        <f t="shared" si="24"/>
        <v>1644.8401518931203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outlineLevel="1" thickBot="1">
      <c r="A107" s="1"/>
      <c r="B107" s="10" t="s">
        <v>70</v>
      </c>
      <c r="C107" s="33">
        <f t="shared" ref="C107:G107" si="25">C105*23%</f>
        <v>2537.8398030000008</v>
      </c>
      <c r="D107" s="33">
        <f t="shared" si="25"/>
        <v>2690.1101911800006</v>
      </c>
      <c r="E107" s="33">
        <f t="shared" si="25"/>
        <v>2824.6157007390007</v>
      </c>
      <c r="F107" s="33">
        <f t="shared" si="25"/>
        <v>2937.6003287685612</v>
      </c>
      <c r="G107" s="33">
        <f t="shared" si="25"/>
        <v>3025.7283386316171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outlineLevel="1" thickBot="1">
      <c r="A108" s="1"/>
      <c r="B108" s="34" t="s">
        <v>71</v>
      </c>
      <c r="C108" s="35">
        <f t="shared" ref="C108:G108" si="26">C105+C106-C107</f>
        <v>9875.8614970000017</v>
      </c>
      <c r="D108" s="35">
        <f t="shared" si="26"/>
        <v>10468.413186820002</v>
      </c>
      <c r="E108" s="35">
        <f t="shared" si="26"/>
        <v>10991.833846161002</v>
      </c>
      <c r="F108" s="35">
        <f t="shared" si="26"/>
        <v>11431.507200007443</v>
      </c>
      <c r="G108" s="35">
        <f t="shared" si="26"/>
        <v>11774.452416007663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8">
      <c r="A110" s="1"/>
      <c r="B110" s="125" t="s">
        <v>72</v>
      </c>
      <c r="C110" s="210"/>
      <c r="D110" s="210"/>
      <c r="E110" s="210"/>
      <c r="F110" s="108"/>
      <c r="G110" s="108"/>
      <c r="H110" s="10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outlineLevel="1" thickBot="1">
      <c r="A111" s="1"/>
      <c r="B111" s="16"/>
      <c r="C111" s="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outlineLevel="1" thickBot="1">
      <c r="A112" s="1"/>
      <c r="B112" s="201" t="s">
        <v>73</v>
      </c>
      <c r="C112" s="14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outlineLevel="1" thickBot="1">
      <c r="A113" s="1"/>
      <c r="B113" s="37" t="s">
        <v>74</v>
      </c>
      <c r="C113" s="38">
        <f>'COMPS '!F20</f>
        <v>8.841775475592898E-3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outlineLevel="1" thickBot="1">
      <c r="A114" s="1"/>
      <c r="B114" s="37" t="s">
        <v>75</v>
      </c>
      <c r="C114" s="38">
        <f>1-C113</f>
        <v>0.99115822452440705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outlineLevel="1" thickBot="1">
      <c r="A115" s="1"/>
      <c r="B115" s="201" t="s">
        <v>76</v>
      </c>
      <c r="C115" s="14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outlineLevel="1" thickBot="1">
      <c r="A116" s="1"/>
      <c r="B116" s="37" t="s">
        <v>77</v>
      </c>
      <c r="C116" s="39">
        <f>'COMPS '!D6</f>
        <v>500498.14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outlineLevel="1" thickBot="1">
      <c r="A117" s="1"/>
      <c r="B117" s="37" t="s">
        <v>78</v>
      </c>
      <c r="C117" s="39">
        <f>'COMPS '!E6</f>
        <v>1478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outlineLevel="1" thickBot="1">
      <c r="A118" s="1"/>
      <c r="B118" s="37" t="s">
        <v>79</v>
      </c>
      <c r="C118" s="38">
        <f>C117/C116</f>
        <v>2.9530579274480418E-3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outlineLevel="1" thickBot="1">
      <c r="A119" s="1"/>
      <c r="B119" s="201" t="s">
        <v>80</v>
      </c>
      <c r="C119" s="14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outlineLevel="1" thickBot="1">
      <c r="A120" s="1"/>
      <c r="B120" s="37" t="s">
        <v>81</v>
      </c>
      <c r="C120" s="38">
        <v>7.4999999999999997E-2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outlineLevel="1" thickBot="1">
      <c r="A121" s="1"/>
      <c r="B121" s="37" t="s">
        <v>15</v>
      </c>
      <c r="C121" s="38">
        <f>Tax_rate</f>
        <v>0.25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outlineLevel="1" thickBot="1">
      <c r="A122" s="1"/>
      <c r="B122" s="37" t="s">
        <v>82</v>
      </c>
      <c r="C122" s="38">
        <f>C120*(1-C121)</f>
        <v>5.6249999999999994E-2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outlineLevel="1" thickBot="1">
      <c r="A123" s="1"/>
      <c r="B123" s="201" t="s">
        <v>83</v>
      </c>
      <c r="C123" s="14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outlineLevel="1" thickBot="1">
      <c r="A124" s="1"/>
      <c r="B124" s="37" t="s">
        <v>84</v>
      </c>
      <c r="C124" s="38">
        <f>C25</f>
        <v>7.0000000000000007E-2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outlineLevel="1" thickBot="1">
      <c r="A125" s="1"/>
      <c r="B125" s="37" t="s">
        <v>85</v>
      </c>
      <c r="C125" s="38">
        <f>C26</f>
        <v>0.06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outlineLevel="1" thickBot="1">
      <c r="A126" s="1"/>
      <c r="B126" s="37" t="s">
        <v>86</v>
      </c>
      <c r="C126" s="40">
        <f>'COMPS '!L6</f>
        <v>0.45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outlineLevel="1" thickBot="1">
      <c r="A127" s="1"/>
      <c r="B127" s="37" t="s">
        <v>83</v>
      </c>
      <c r="C127" s="38">
        <f>C124+C126*C125</f>
        <v>9.7000000000000003E-2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2" customHeight="1" outlineLevel="1" thickBot="1">
      <c r="A128" s="1"/>
      <c r="B128" s="202" t="s">
        <v>87</v>
      </c>
      <c r="C128" s="203">
        <f>(C127*C114)+(C113*C122)</f>
        <v>9.6639697649369583E-2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8">
      <c r="A130" s="1"/>
      <c r="B130" s="125" t="s">
        <v>88</v>
      </c>
      <c r="C130" s="210"/>
      <c r="D130" s="210"/>
      <c r="E130" s="210"/>
      <c r="F130" s="108"/>
      <c r="G130" s="108"/>
      <c r="H130" s="10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outlineLevel="1" thickBot="1">
      <c r="A131" s="1"/>
      <c r="B131" s="8"/>
      <c r="C131" s="1"/>
      <c r="D131" s="1"/>
      <c r="E131" s="1"/>
      <c r="F131" s="1"/>
      <c r="G131" s="1"/>
      <c r="H131" s="1"/>
      <c r="I131" s="1"/>
      <c r="J131" s="17"/>
      <c r="K131" s="17"/>
      <c r="L131" s="17"/>
      <c r="M131" s="17"/>
      <c r="N131" s="1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outlineLevel="1" thickBot="1">
      <c r="A132" s="1"/>
      <c r="B132" s="10" t="s">
        <v>223</v>
      </c>
      <c r="C132" s="22">
        <f>G108</f>
        <v>11774.452416007663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outlineLevel="1" thickBot="1">
      <c r="A133" s="1"/>
      <c r="B133" s="10" t="s">
        <v>89</v>
      </c>
      <c r="C133" s="14">
        <f>C24</f>
        <v>4.4999999999999998E-2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outlineLevel="1" thickBot="1">
      <c r="A134" s="1"/>
      <c r="B134" s="10" t="s">
        <v>90</v>
      </c>
      <c r="C134" s="155"/>
      <c r="D134" s="1"/>
      <c r="E134" s="1"/>
      <c r="F134" s="1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outlineLevel="1" thickBot="1">
      <c r="A135" s="1"/>
      <c r="B135" s="34" t="s">
        <v>91</v>
      </c>
      <c r="C135" s="41">
        <f>C132*(1+C133)/(C128-C133)</f>
        <v>238272.16918025888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8">
      <c r="A137" s="1"/>
      <c r="B137" s="125" t="s">
        <v>92</v>
      </c>
      <c r="C137" s="210"/>
      <c r="D137" s="210"/>
      <c r="E137" s="210"/>
      <c r="F137" s="110"/>
      <c r="G137" s="110"/>
      <c r="H137" s="11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outlineLevel="1" thickBot="1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outlineLevel="1" thickBot="1">
      <c r="A139" s="1"/>
      <c r="B139" s="204" t="s">
        <v>52</v>
      </c>
      <c r="C139" s="205" t="s">
        <v>53</v>
      </c>
      <c r="D139" s="205" t="s">
        <v>54</v>
      </c>
      <c r="E139" s="205" t="s">
        <v>55</v>
      </c>
      <c r="F139" s="205" t="s">
        <v>56</v>
      </c>
      <c r="G139" s="205" t="s">
        <v>195</v>
      </c>
      <c r="H139" s="205" t="s">
        <v>91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outlineLevel="1" thickBot="1">
      <c r="A140" s="1"/>
      <c r="B140" s="10" t="s">
        <v>93</v>
      </c>
      <c r="C140" s="22">
        <f t="shared" ref="C140:G140" si="27">C108</f>
        <v>9875.8614970000017</v>
      </c>
      <c r="D140" s="22">
        <f t="shared" si="27"/>
        <v>10468.413186820002</v>
      </c>
      <c r="E140" s="22">
        <f t="shared" si="27"/>
        <v>10991.833846161002</v>
      </c>
      <c r="F140" s="22">
        <f t="shared" si="27"/>
        <v>11431.507200007443</v>
      </c>
      <c r="G140" s="22">
        <f t="shared" si="27"/>
        <v>11774.452416007663</v>
      </c>
      <c r="H140" s="22">
        <f>C135</f>
        <v>238272.16918025888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outlineLevel="1" thickBot="1">
      <c r="A141" s="1"/>
      <c r="B141" s="10" t="s">
        <v>94</v>
      </c>
      <c r="C141" s="42">
        <f t="shared" ref="C141" si="28">1/(1+$C$128)^1</f>
        <v>0.91187652803695207</v>
      </c>
      <c r="D141" s="42">
        <f>1/(1+$C$128)^2</f>
        <v>0.83151880238472631</v>
      </c>
      <c r="E141" s="42">
        <f>1/(1+$C$128)^3</f>
        <v>0.75824247851602877</v>
      </c>
      <c r="F141" s="42">
        <f>1/(1+$C$128)^4</f>
        <v>0.69142351871932961</v>
      </c>
      <c r="G141" s="42">
        <f>1/(1+$C$128)^5</f>
        <v>0.63049287765287487</v>
      </c>
      <c r="H141" s="42">
        <f>1/(1+$C$128)^5</f>
        <v>0.63049287765287487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outlineLevel="1" thickBot="1">
      <c r="A142" s="1"/>
      <c r="B142" s="10" t="s">
        <v>95</v>
      </c>
      <c r="C142" s="22">
        <f t="shared" ref="C142:H142" si="29">C140*C141</f>
        <v>9005.5662932581781</v>
      </c>
      <c r="D142" s="22">
        <f t="shared" si="29"/>
        <v>8704.6823959730445</v>
      </c>
      <c r="E142" s="22">
        <f t="shared" si="29"/>
        <v>8334.4753389494908</v>
      </c>
      <c r="F142" s="22">
        <f t="shared" si="29"/>
        <v>7904.0129324944974</v>
      </c>
      <c r="G142" s="22">
        <f t="shared" si="29"/>
        <v>7423.7083865555169</v>
      </c>
      <c r="H142" s="22">
        <f t="shared" si="29"/>
        <v>150228.90561105407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4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8">
      <c r="A144" s="1"/>
      <c r="B144" s="125" t="s">
        <v>96</v>
      </c>
      <c r="C144" s="209"/>
      <c r="D144" s="209"/>
      <c r="E144" s="209"/>
      <c r="F144" s="108"/>
      <c r="G144" s="108"/>
      <c r="H144" s="10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outlineLevel="1">
      <c r="A145" s="1"/>
      <c r="B145" s="4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outlineLevel="1">
      <c r="A146" s="1"/>
      <c r="B146" s="44" t="s">
        <v>248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outlineLevel="1">
      <c r="A147" s="1"/>
      <c r="B147" s="4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outlineLevel="1">
      <c r="A148" s="1"/>
      <c r="B148" s="46">
        <f>SUM(C142:G142)</f>
        <v>41372.445347230729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outlineLevel="1">
      <c r="A149" s="1"/>
      <c r="B149" s="4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outlineLevel="1">
      <c r="A150" s="1"/>
      <c r="B150" s="4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outlineLevel="1">
      <c r="A151" s="1"/>
      <c r="B151" s="44" t="s">
        <v>97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outlineLevel="1">
      <c r="A152" s="1"/>
      <c r="B152" s="4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outlineLevel="1">
      <c r="A153" s="1"/>
      <c r="B153" s="46">
        <f>H142</f>
        <v>150228.90561105407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outlineLevel="1">
      <c r="A154" s="1"/>
      <c r="B154" s="4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outlineLevel="1">
      <c r="A155" s="1"/>
      <c r="B155" s="4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outlineLevel="1">
      <c r="A156" s="1"/>
      <c r="B156" s="44" t="s">
        <v>98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outlineLevel="1">
      <c r="A157" s="1"/>
      <c r="B157" s="15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outlineLevel="1">
      <c r="A158" s="1"/>
      <c r="B158" s="158">
        <f>B153+B148</f>
        <v>191601.35095828481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outlineLevel="1">
      <c r="A159" s="1"/>
      <c r="B159" s="4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117" customFormat="1" ht="14.25" customHeight="1" outlineLevel="1" thickBot="1">
      <c r="A160" s="112"/>
      <c r="B160" s="198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spans="1:26" ht="14.25" customHeight="1" outlineLevel="1" thickBot="1">
      <c r="A161" s="1"/>
      <c r="B161" s="10" t="s">
        <v>98</v>
      </c>
      <c r="C161" s="22">
        <f>B158</f>
        <v>191601.35095828481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outlineLevel="1" thickBot="1">
      <c r="A162" s="1"/>
      <c r="B162" s="10" t="s">
        <v>99</v>
      </c>
      <c r="C162" s="22">
        <f>C117</f>
        <v>1478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outlineLevel="1" thickBot="1">
      <c r="A163" s="1"/>
      <c r="B163" s="10" t="s">
        <v>100</v>
      </c>
      <c r="C163" s="12">
        <f>'COMPS '!J6</f>
        <v>3248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outlineLevel="1" thickBot="1">
      <c r="A164" s="1"/>
      <c r="B164" s="34" t="s">
        <v>101</v>
      </c>
      <c r="C164" s="49">
        <f>C161-C162+C163</f>
        <v>193371.35095828481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outlineLevel="1" thickBot="1">
      <c r="A165" s="1"/>
      <c r="B165" s="10" t="s">
        <v>102</v>
      </c>
      <c r="C165" s="12">
        <f>'Data Sheet'!K94</f>
        <v>234.96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outlineLevel="1" thickBot="1">
      <c r="A166" s="1"/>
      <c r="B166" s="50" t="s">
        <v>103</v>
      </c>
      <c r="C166" s="51">
        <f>C164/C165</f>
        <v>822.99689716668706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outlineLevel="1" thickBot="1">
      <c r="A167" s="1"/>
      <c r="B167" s="10" t="s">
        <v>104</v>
      </c>
      <c r="C167" s="52">
        <f>'COMPS '!C6</f>
        <v>2130.15</v>
      </c>
      <c r="D167" s="1"/>
      <c r="E167" s="1"/>
      <c r="F167" s="1"/>
      <c r="G167" s="1"/>
      <c r="H167" s="1"/>
      <c r="I167" s="1"/>
      <c r="J167" s="1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customHeight="1" outlineLevel="1" thickBot="1">
      <c r="A168" s="1"/>
      <c r="B168" s="10" t="s">
        <v>105</v>
      </c>
      <c r="C168" s="157">
        <f>C166/C167-1</f>
        <v>-0.61364368839439143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8">
      <c r="A170" s="1"/>
      <c r="B170" s="125" t="s">
        <v>106</v>
      </c>
      <c r="C170" s="209"/>
      <c r="D170" s="209"/>
      <c r="E170" s="209"/>
      <c r="F170" s="108"/>
      <c r="G170" s="108"/>
      <c r="H170" s="10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s="117" customFormat="1" ht="14.25" customHeight="1" thickBot="1">
      <c r="A171" s="112"/>
      <c r="B171" s="206"/>
      <c r="C171" s="206"/>
      <c r="D171" s="206"/>
      <c r="E171" s="206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spans="1:26" ht="14.25" customHeight="1" outlineLevel="1" thickBot="1">
      <c r="A172" s="1"/>
      <c r="B172" s="146" t="s">
        <v>107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outlineLevel="1" thickBot="1">
      <c r="A173" s="1"/>
      <c r="B173" s="53">
        <f>C166</f>
        <v>822.99689716668706</v>
      </c>
      <c r="C173" s="207">
        <f t="shared" ref="C173:E173" si="30">D173-0.05%</f>
        <v>9.5139697649369581E-2</v>
      </c>
      <c r="D173" s="207">
        <f t="shared" si="30"/>
        <v>9.5639697649369582E-2</v>
      </c>
      <c r="E173" s="207">
        <f t="shared" si="30"/>
        <v>9.6139697649369582E-2</v>
      </c>
      <c r="F173" s="208">
        <f>C128</f>
        <v>9.6639697649369583E-2</v>
      </c>
      <c r="G173" s="207">
        <f t="shared" ref="G173:H173" si="31">F173+0.05%</f>
        <v>9.7139697649369583E-2</v>
      </c>
      <c r="H173" s="207">
        <f t="shared" si="31"/>
        <v>9.7639697649369583E-2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outlineLevel="1" thickBot="1">
      <c r="A174" s="1"/>
      <c r="B174" s="54">
        <f t="shared" ref="B174:B175" si="32">B175-1%</f>
        <v>2.4999999999999994E-2</v>
      </c>
      <c r="C174" s="52">
        <f t="dataTable" ref="C174:H178" dt2D="1" dtr="1" r1="C128" r2="C24" ca="1"/>
        <v>649.21737297109712</v>
      </c>
      <c r="D174" s="52">
        <v>658.57083738044821</v>
      </c>
      <c r="E174" s="52">
        <v>663.34985387362894</v>
      </c>
      <c r="F174" s="52">
        <v>663.34985387362894</v>
      </c>
      <c r="G174" s="52">
        <v>658.57083738044821</v>
      </c>
      <c r="H174" s="52">
        <v>649.21737297109712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outlineLevel="1" thickBot="1">
      <c r="A175" s="1"/>
      <c r="B175" s="54">
        <f t="shared" si="32"/>
        <v>3.4999999999999996E-2</v>
      </c>
      <c r="C175" s="52">
        <v>598.4516729377159</v>
      </c>
      <c r="D175" s="52">
        <v>606.16958377429739</v>
      </c>
      <c r="E175" s="52">
        <v>610.10370893022935</v>
      </c>
      <c r="F175" s="52">
        <v>610.10370893022935</v>
      </c>
      <c r="G175" s="52">
        <v>606.16958377429739</v>
      </c>
      <c r="H175" s="52">
        <v>598.4516729377159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outlineLevel="1" thickBot="1">
      <c r="A176" s="1"/>
      <c r="B176" s="55">
        <f>C24</f>
        <v>4.4999999999999998E-2</v>
      </c>
      <c r="C176" s="52">
        <v>610.10370893022935</v>
      </c>
      <c r="D176" s="52">
        <v>618.12723601045354</v>
      </c>
      <c r="E176" s="52">
        <v>622.2186911822381</v>
      </c>
      <c r="F176" s="56">
        <v>622.2186911822381</v>
      </c>
      <c r="G176" s="52">
        <v>618.12723601045354</v>
      </c>
      <c r="H176" s="52">
        <v>610.10370893022935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outlineLevel="1" thickBot="1">
      <c r="A177" s="1"/>
      <c r="B177" s="54">
        <f t="shared" ref="B177:B178" si="33">B176+1%</f>
        <v>5.5E-2</v>
      </c>
      <c r="C177" s="52">
        <v>693.55411142630464</v>
      </c>
      <c r="D177" s="52">
        <v>704.2456985825105</v>
      </c>
      <c r="E177" s="52">
        <v>709.71660130509292</v>
      </c>
      <c r="F177" s="52">
        <v>709.71660130509292</v>
      </c>
      <c r="G177" s="52">
        <v>704.2456985825105</v>
      </c>
      <c r="H177" s="52">
        <v>693.55411142630464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outlineLevel="1" thickBot="1">
      <c r="A178" s="1"/>
      <c r="B178" s="54">
        <f t="shared" si="33"/>
        <v>6.5000000000000002E-2</v>
      </c>
      <c r="C178" s="52">
        <v>961.30242599919518</v>
      </c>
      <c r="D178" s="52">
        <v>983.37577931519002</v>
      </c>
      <c r="E178" s="52">
        <v>994.80063310268849</v>
      </c>
      <c r="F178" s="52">
        <v>994.80063310268849</v>
      </c>
      <c r="G178" s="52">
        <v>983.37577931519002</v>
      </c>
      <c r="H178" s="52">
        <v>961.30242599919518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8">
      <c r="A180" s="1"/>
      <c r="B180" s="125" t="s">
        <v>108</v>
      </c>
      <c r="C180" s="209"/>
      <c r="D180" s="209"/>
      <c r="E180" s="209"/>
      <c r="F180" s="108"/>
      <c r="G180" s="108"/>
      <c r="H180" s="10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outlineLevel="1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outlineLevel="1">
      <c r="A182" s="1"/>
      <c r="B182" s="159" t="s">
        <v>225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.6" customHeight="1" outlineLevel="1">
      <c r="A183" s="1"/>
      <c r="B183" s="162" t="s">
        <v>226</v>
      </c>
      <c r="C183" s="163"/>
      <c r="D183" s="163"/>
      <c r="E183" s="163"/>
      <c r="F183" s="16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2" customHeight="1" outlineLevel="1">
      <c r="A184" s="1"/>
      <c r="B184" s="162" t="s">
        <v>227</v>
      </c>
      <c r="C184" s="163"/>
      <c r="D184" s="163"/>
      <c r="E184" s="163"/>
      <c r="F184" s="16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8" customHeight="1" outlineLevel="1">
      <c r="A185" s="1"/>
      <c r="B185" s="162" t="s">
        <v>228</v>
      </c>
      <c r="C185" s="163"/>
      <c r="D185" s="163"/>
      <c r="E185" s="163"/>
      <c r="F185" s="16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2" customHeight="1" outlineLevel="1">
      <c r="A186" s="1"/>
      <c r="B186" s="162" t="s">
        <v>229</v>
      </c>
      <c r="C186" s="163"/>
      <c r="D186" s="163"/>
      <c r="E186" s="163"/>
      <c r="F186" s="16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8" customHeight="1" outlineLevel="1">
      <c r="A187" s="1"/>
      <c r="B187" s="161" t="s">
        <v>230</v>
      </c>
      <c r="C187" s="163"/>
      <c r="D187" s="163"/>
      <c r="E187" s="163"/>
      <c r="F187" s="16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outlineLevel="1">
      <c r="A188" s="1"/>
      <c r="B188" s="16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outlineLevel="1">
      <c r="A189" s="1"/>
      <c r="B189" s="166" t="s">
        <v>231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outlineLevel="1">
      <c r="A190" s="1"/>
      <c r="B190" s="165" t="s">
        <v>236</v>
      </c>
      <c r="C190" s="164"/>
      <c r="D190" s="164"/>
      <c r="E190" s="164"/>
      <c r="F190" s="164"/>
      <c r="G190" s="16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8" customHeight="1" outlineLevel="1">
      <c r="A191" s="1"/>
      <c r="B191" s="162" t="s">
        <v>232</v>
      </c>
      <c r="C191" s="163"/>
      <c r="D191" s="163"/>
      <c r="E191" s="163"/>
      <c r="F191" s="163"/>
      <c r="G191" s="16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2" customHeight="1" outlineLevel="1">
      <c r="A192" s="1"/>
      <c r="B192" s="162" t="s">
        <v>233</v>
      </c>
      <c r="C192" s="163"/>
      <c r="D192" s="163"/>
      <c r="E192" s="163"/>
      <c r="F192" s="163"/>
      <c r="G192" s="16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3.4" customHeight="1" outlineLevel="1">
      <c r="A193" s="1"/>
      <c r="B193" s="162" t="s">
        <v>234</v>
      </c>
      <c r="C193" s="163"/>
      <c r="D193" s="163"/>
      <c r="E193" s="163"/>
      <c r="F193" s="163"/>
      <c r="G193" s="16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outlineLevel="1">
      <c r="A194" s="1"/>
      <c r="B194" s="162" t="s">
        <v>235</v>
      </c>
      <c r="C194" s="163"/>
      <c r="D194" s="163"/>
      <c r="E194" s="163"/>
      <c r="F194" s="163"/>
      <c r="G194" s="16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outlineLevel="1">
      <c r="A195" s="1"/>
      <c r="B195" s="162"/>
      <c r="C195" s="163"/>
      <c r="D195" s="163"/>
      <c r="E195" s="163"/>
      <c r="F195" s="163"/>
      <c r="G195" s="16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8">
      <c r="A197" s="1"/>
      <c r="B197" s="125" t="s">
        <v>109</v>
      </c>
      <c r="C197" s="209"/>
      <c r="D197" s="209"/>
      <c r="E197" s="209"/>
      <c r="F197" s="108"/>
      <c r="G197" s="108"/>
      <c r="H197" s="10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hidden="1" customHeight="1" outlineLevel="1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6" hidden="1" customHeight="1" outlineLevel="1">
      <c r="A199" s="1"/>
      <c r="B199" s="230"/>
      <c r="C199" s="231"/>
      <c r="D199" s="231"/>
      <c r="E199" s="231"/>
      <c r="F199" s="231"/>
      <c r="G199" s="231"/>
      <c r="H199" s="231"/>
      <c r="I199" s="1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hidden="1" customHeight="1" outlineLevel="1">
      <c r="A200" s="1"/>
      <c r="B200" s="57"/>
      <c r="C200" s="58"/>
      <c r="D200" s="58"/>
      <c r="E200" s="58"/>
      <c r="F200" s="58"/>
      <c r="G200" s="58"/>
      <c r="H200" s="5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hidden="1" customHeight="1" outlineLevel="1">
      <c r="A201" s="1"/>
      <c r="B201" s="59"/>
      <c r="C201" s="58"/>
      <c r="D201" s="58"/>
      <c r="E201" s="58"/>
      <c r="F201" s="58"/>
      <c r="G201" s="58"/>
      <c r="H201" s="5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hidden="1" customHeight="1" outlineLevel="1">
      <c r="A202" s="1"/>
      <c r="B202" s="60"/>
      <c r="C202" s="61"/>
      <c r="D202" s="61"/>
      <c r="E202" s="61"/>
      <c r="F202" s="61"/>
      <c r="G202" s="61"/>
      <c r="H202" s="6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hidden="1" customHeight="1" outlineLevel="1">
      <c r="A203" s="1"/>
      <c r="B203" s="60"/>
      <c r="C203" s="58"/>
      <c r="D203" s="58"/>
      <c r="E203" s="58"/>
      <c r="F203" s="58"/>
      <c r="G203" s="58"/>
      <c r="H203" s="5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hidden="1" customHeight="1" outlineLevel="1">
      <c r="A204" s="1"/>
      <c r="B204" s="60"/>
      <c r="C204" s="58"/>
      <c r="D204" s="58"/>
      <c r="E204" s="58"/>
      <c r="F204" s="58"/>
      <c r="G204" s="58"/>
      <c r="H204" s="5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hidden="1" customHeight="1" outlineLevel="1">
      <c r="A205" s="1"/>
      <c r="B205" s="57"/>
      <c r="C205" s="58"/>
      <c r="D205" s="58"/>
      <c r="E205" s="58"/>
      <c r="F205" s="58"/>
      <c r="G205" s="58"/>
      <c r="H205" s="5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hidden="1" customHeight="1" outlineLevel="1">
      <c r="A206" s="1"/>
      <c r="B206" s="59"/>
      <c r="C206" s="58"/>
      <c r="D206" s="58"/>
      <c r="E206" s="58"/>
      <c r="F206" s="58"/>
      <c r="G206" s="58"/>
      <c r="H206" s="5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hidden="1" customHeight="1" outlineLevel="1">
      <c r="A207" s="1"/>
      <c r="B207" s="57"/>
      <c r="C207" s="58"/>
      <c r="D207" s="58"/>
      <c r="E207" s="58"/>
      <c r="F207" s="58"/>
      <c r="G207" s="58"/>
      <c r="H207" s="5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6" hidden="1" customHeight="1" outlineLevel="1">
      <c r="A208" s="1"/>
      <c r="B208" s="230"/>
      <c r="C208" s="231"/>
      <c r="D208" s="231"/>
      <c r="E208" s="231"/>
      <c r="F208" s="231"/>
      <c r="G208" s="231"/>
      <c r="H208" s="23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hidden="1" customHeight="1" outlineLevel="1">
      <c r="A209" s="1"/>
      <c r="B209" s="62"/>
      <c r="C209" s="58"/>
      <c r="D209" s="58"/>
      <c r="E209" s="58"/>
      <c r="F209" s="58"/>
      <c r="G209" s="58"/>
      <c r="H209" s="5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hidden="1" customHeight="1" outlineLevel="1">
      <c r="A210" s="1"/>
      <c r="B210" s="62"/>
      <c r="C210" s="58"/>
      <c r="D210" s="58"/>
      <c r="E210" s="58"/>
      <c r="F210" s="58"/>
      <c r="G210" s="58"/>
      <c r="H210" s="5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hidden="1" customHeight="1" outlineLevel="1">
      <c r="A211" s="1"/>
      <c r="B211" s="62"/>
      <c r="C211" s="58"/>
      <c r="D211" s="58"/>
      <c r="E211" s="58"/>
      <c r="F211" s="58"/>
      <c r="G211" s="58"/>
      <c r="H211" s="5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.75" hidden="1" customHeight="1" outlineLevel="1">
      <c r="A212" s="1"/>
      <c r="B212" s="232"/>
      <c r="C212" s="231"/>
      <c r="D212" s="231"/>
      <c r="E212" s="231"/>
      <c r="F212" s="231"/>
      <c r="G212" s="231"/>
      <c r="H212" s="23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collapsed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19" t="s">
        <v>260</v>
      </c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>
      <c r="A215" s="1"/>
      <c r="B215" s="223" t="s">
        <v>259</v>
      </c>
      <c r="C215" s="223"/>
      <c r="D215" s="223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>
      <c r="A216" s="1"/>
      <c r="B216" s="223"/>
      <c r="C216" s="223"/>
      <c r="D216" s="223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26" t="s">
        <v>251</v>
      </c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22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23" t="s">
        <v>256</v>
      </c>
      <c r="C219" s="224"/>
      <c r="D219" s="224"/>
      <c r="E219" s="224"/>
      <c r="F219" s="224"/>
      <c r="G219" s="220"/>
      <c r="H219" s="220"/>
      <c r="I219" s="220"/>
      <c r="J219" s="220"/>
      <c r="K219" s="220"/>
      <c r="L219" s="220"/>
      <c r="M219" s="220"/>
      <c r="N219" s="220"/>
      <c r="O219" s="220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23" t="s">
        <v>257</v>
      </c>
      <c r="C220" s="224"/>
      <c r="D220" s="224"/>
      <c r="E220" s="224"/>
      <c r="F220" s="224"/>
      <c r="G220" s="220"/>
      <c r="H220" s="220"/>
      <c r="I220" s="220"/>
      <c r="J220" s="220"/>
      <c r="K220" s="220"/>
      <c r="L220" s="220"/>
      <c r="M220" s="220"/>
      <c r="N220" s="220"/>
      <c r="O220" s="220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23" t="s">
        <v>258</v>
      </c>
      <c r="C221" s="224"/>
      <c r="D221" s="224"/>
      <c r="E221" s="224"/>
      <c r="F221" s="224"/>
      <c r="G221" s="220"/>
      <c r="H221" s="220"/>
      <c r="I221" s="220"/>
      <c r="J221" s="220"/>
      <c r="K221" s="220"/>
      <c r="L221" s="220"/>
      <c r="M221" s="220"/>
      <c r="N221" s="220"/>
      <c r="O221" s="220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25"/>
      <c r="C222" s="224"/>
      <c r="D222" s="224"/>
      <c r="E222" s="224"/>
      <c r="F222" s="224"/>
      <c r="G222" s="220"/>
      <c r="H222" s="220"/>
      <c r="I222" s="220"/>
      <c r="J222" s="220"/>
      <c r="K222" s="220"/>
      <c r="L222" s="220"/>
      <c r="M222" s="220"/>
      <c r="N222" s="220"/>
      <c r="O222" s="220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26" t="s">
        <v>252</v>
      </c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21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s="217" customFormat="1" ht="14.25" customHeight="1">
      <c r="A225" s="218"/>
      <c r="B225" s="223" t="s">
        <v>261</v>
      </c>
      <c r="C225" s="223"/>
      <c r="D225" s="223"/>
      <c r="E225" s="223"/>
      <c r="F225" s="223"/>
      <c r="G225" s="223"/>
      <c r="H225" s="223"/>
      <c r="I225" s="223"/>
      <c r="J225" s="223"/>
      <c r="K225" s="223"/>
      <c r="L225" s="223"/>
      <c r="M225" s="223"/>
      <c r="N225" s="223"/>
      <c r="O225" s="223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spans="1:26" s="217" customFormat="1" ht="14.25" customHeight="1">
      <c r="A226" s="218"/>
      <c r="B226" s="223" t="s">
        <v>262</v>
      </c>
      <c r="C226" s="223"/>
      <c r="D226" s="223"/>
      <c r="E226" s="223"/>
      <c r="F226" s="223"/>
      <c r="G226" s="223"/>
      <c r="H226" s="223"/>
      <c r="I226" s="223"/>
      <c r="J226" s="223"/>
      <c r="K226" s="223"/>
      <c r="L226" s="223"/>
      <c r="M226" s="223"/>
      <c r="N226" s="223"/>
      <c r="O226" s="223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spans="1:26" s="217" customFormat="1" ht="14.25" customHeight="1">
      <c r="A227" s="218"/>
      <c r="B227" s="223"/>
      <c r="C227" s="223"/>
      <c r="D227" s="223"/>
      <c r="E227" s="223"/>
      <c r="F227" s="223"/>
      <c r="G227" s="223"/>
      <c r="H227" s="223"/>
      <c r="I227" s="223"/>
      <c r="J227" s="223"/>
      <c r="K227" s="223"/>
      <c r="L227" s="223"/>
      <c r="M227" s="223"/>
      <c r="N227" s="223"/>
      <c r="O227" s="223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spans="1:26" s="217" customFormat="1" ht="14.25" customHeight="1">
      <c r="A228" s="218"/>
      <c r="B228" s="223" t="s">
        <v>253</v>
      </c>
      <c r="C228" s="223"/>
      <c r="D228" s="223"/>
      <c r="E228" s="223"/>
      <c r="F228" s="223"/>
      <c r="G228" s="223"/>
      <c r="H228" s="223"/>
      <c r="I228" s="223"/>
      <c r="J228" s="223"/>
      <c r="K228" s="223"/>
      <c r="L228" s="223"/>
      <c r="M228" s="223"/>
      <c r="N228" s="223"/>
      <c r="O228" s="223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spans="1:26" s="217" customFormat="1" ht="14.25" customHeight="1">
      <c r="A229" s="218"/>
      <c r="B229" s="223" t="s">
        <v>254</v>
      </c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spans="1:26" s="217" customFormat="1" ht="14.25" customHeight="1">
      <c r="A230" s="218"/>
      <c r="B230" s="223" t="s">
        <v>255</v>
      </c>
      <c r="C230" s="223"/>
      <c r="D230" s="223"/>
      <c r="E230" s="223"/>
      <c r="F230" s="223"/>
      <c r="G230" s="223"/>
      <c r="H230" s="223"/>
      <c r="I230" s="223"/>
      <c r="J230" s="223"/>
      <c r="K230" s="223"/>
      <c r="L230" s="223"/>
      <c r="M230" s="223"/>
      <c r="N230" s="223"/>
      <c r="O230" s="223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mergeCells count="12">
    <mergeCell ref="D24:F24"/>
    <mergeCell ref="D25:F25"/>
    <mergeCell ref="D19:F19"/>
    <mergeCell ref="D20:F20"/>
    <mergeCell ref="D21:F21"/>
    <mergeCell ref="D22:F22"/>
    <mergeCell ref="D23:F23"/>
    <mergeCell ref="D26:F26"/>
    <mergeCell ref="D27:F27"/>
    <mergeCell ref="B199:H199"/>
    <mergeCell ref="B208:H208"/>
    <mergeCell ref="B212:H212"/>
  </mergeCells>
  <dataValidations count="1">
    <dataValidation type="list" allowBlank="1" showErrorMessage="1" sqref="C91" xr:uid="{00000000-0002-0000-0000-000000000000}">
      <formula1>$B$92:$B$94</formula1>
    </dataValidation>
  </dataValidations>
  <pageMargins left="0.7" right="0.7" top="0.75" bottom="0.7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A5D55-8212-4FF2-BDC1-6AE7DE5DD44B}">
  <dimension ref="B3:O41"/>
  <sheetViews>
    <sheetView showGridLines="0" workbookViewId="0">
      <selection activeCell="F19" sqref="F19"/>
    </sheetView>
  </sheetViews>
  <sheetFormatPr defaultRowHeight="14.4" outlineLevelRow="1"/>
  <cols>
    <col min="1" max="1" width="1.88671875" customWidth="1"/>
    <col min="2" max="2" width="15.77734375" customWidth="1"/>
    <col min="3" max="3" width="15.6640625" customWidth="1"/>
    <col min="4" max="4" width="10.21875" customWidth="1"/>
    <col min="5" max="5" width="15.109375" customWidth="1"/>
    <col min="6" max="6" width="17.21875" customWidth="1"/>
    <col min="7" max="7" width="11.21875" customWidth="1"/>
    <col min="8" max="8" width="13.77734375" customWidth="1"/>
    <col min="9" max="9" width="13.6640625" customWidth="1"/>
    <col min="10" max="10" width="14.5546875" customWidth="1"/>
    <col min="11" max="11" width="12.109375" customWidth="1"/>
    <col min="12" max="12" width="12.5546875" bestFit="1" customWidth="1"/>
    <col min="13" max="13" width="15.33203125" customWidth="1"/>
    <col min="14" max="14" width="13.21875" customWidth="1"/>
    <col min="15" max="15" width="13.109375" customWidth="1"/>
  </cols>
  <sheetData>
    <row r="3" spans="2:12" ht="23.4">
      <c r="B3" s="154" t="s">
        <v>209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2:12" outlineLevel="1"/>
    <row r="5" spans="2:12" outlineLevel="1">
      <c r="B5" s="195" t="s">
        <v>196</v>
      </c>
      <c r="C5" s="196" t="s">
        <v>208</v>
      </c>
      <c r="D5" s="196" t="s">
        <v>207</v>
      </c>
      <c r="E5" s="196" t="s">
        <v>197</v>
      </c>
      <c r="F5" s="196" t="s">
        <v>198</v>
      </c>
      <c r="G5" s="196" t="s">
        <v>199</v>
      </c>
      <c r="H5" s="196" t="s">
        <v>200</v>
      </c>
      <c r="I5" s="196" t="s">
        <v>149</v>
      </c>
      <c r="J5" s="196" t="s">
        <v>201</v>
      </c>
      <c r="K5" s="196" t="s">
        <v>27</v>
      </c>
      <c r="L5" s="197" t="s">
        <v>150</v>
      </c>
    </row>
    <row r="6" spans="2:12" outlineLevel="1">
      <c r="B6" s="190" t="s">
        <v>202</v>
      </c>
      <c r="C6" s="191">
        <v>2130.15</v>
      </c>
      <c r="D6" s="191">
        <v>500498.14</v>
      </c>
      <c r="E6" s="191">
        <v>1478</v>
      </c>
      <c r="F6" s="191">
        <v>0.03</v>
      </c>
      <c r="G6" s="191">
        <v>64468</v>
      </c>
      <c r="H6" s="191">
        <v>31.59</v>
      </c>
      <c r="I6" s="191">
        <v>15059</v>
      </c>
      <c r="J6" s="191">
        <v>3248</v>
      </c>
      <c r="K6" s="191">
        <v>15039</v>
      </c>
      <c r="L6" s="192">
        <v>0.45</v>
      </c>
    </row>
    <row r="7" spans="2:12" outlineLevel="1">
      <c r="B7" s="193" t="s">
        <v>203</v>
      </c>
      <c r="C7" s="194">
        <v>288</v>
      </c>
      <c r="D7" s="194">
        <v>360848.72</v>
      </c>
      <c r="E7" s="194">
        <v>2399.06</v>
      </c>
      <c r="F7" s="194">
        <v>0.03</v>
      </c>
      <c r="G7" s="194">
        <v>78868.399999999994</v>
      </c>
      <c r="H7" s="194">
        <v>11.96</v>
      </c>
      <c r="I7" s="194">
        <v>21018.15</v>
      </c>
      <c r="J7" s="194">
        <v>3008.79</v>
      </c>
      <c r="K7" s="194">
        <v>27306</v>
      </c>
      <c r="L7" s="192">
        <v>0.65</v>
      </c>
    </row>
    <row r="8" spans="2:12" outlineLevel="1">
      <c r="B8" s="190" t="s">
        <v>204</v>
      </c>
      <c r="C8" s="191">
        <v>1417</v>
      </c>
      <c r="D8" s="191">
        <v>273242.19</v>
      </c>
      <c r="E8" s="191">
        <v>444.16</v>
      </c>
      <c r="F8" s="191">
        <v>0.08</v>
      </c>
      <c r="G8" s="191">
        <v>23154.6</v>
      </c>
      <c r="H8" s="191">
        <v>50.98</v>
      </c>
      <c r="I8" s="191">
        <v>3544.6</v>
      </c>
      <c r="J8" s="191">
        <v>1340.87</v>
      </c>
      <c r="K8" s="191">
        <v>5306.96</v>
      </c>
      <c r="L8" s="192">
        <v>0.42</v>
      </c>
    </row>
    <row r="9" spans="2:12" outlineLevel="1">
      <c r="B9" s="193" t="s">
        <v>205</v>
      </c>
      <c r="C9" s="194">
        <v>504.05</v>
      </c>
      <c r="D9" s="194">
        <v>170484.65</v>
      </c>
      <c r="E9" s="194">
        <v>2508.1799999999998</v>
      </c>
      <c r="F9" s="194">
        <v>0.13</v>
      </c>
      <c r="G9" s="194">
        <v>22692.63</v>
      </c>
      <c r="H9" s="194">
        <v>30.14</v>
      </c>
      <c r="I9" s="194">
        <v>3209.4</v>
      </c>
      <c r="J9" s="194">
        <v>1998.49</v>
      </c>
      <c r="K9" s="194">
        <v>5304.92</v>
      </c>
      <c r="L9" s="192">
        <v>0.85</v>
      </c>
    </row>
    <row r="10" spans="2:12" outlineLevel="1">
      <c r="B10" s="190" t="s">
        <v>206</v>
      </c>
      <c r="C10" s="191">
        <v>5115</v>
      </c>
      <c r="D10" s="191">
        <v>123204.09</v>
      </c>
      <c r="E10" s="191">
        <v>1380.28</v>
      </c>
      <c r="F10" s="191">
        <v>0.27</v>
      </c>
      <c r="G10" s="191">
        <v>19151.59</v>
      </c>
      <c r="H10" s="191">
        <v>33.229999999999997</v>
      </c>
      <c r="I10" s="191">
        <v>2537.0100000000002</v>
      </c>
      <c r="J10" s="191">
        <v>352.44</v>
      </c>
      <c r="K10" s="191">
        <v>3514.34</v>
      </c>
      <c r="L10" s="192">
        <v>0.55000000000000004</v>
      </c>
    </row>
    <row r="12" spans="2:12" ht="23.4">
      <c r="B12" s="154" t="s">
        <v>210</v>
      </c>
      <c r="C12" s="154"/>
      <c r="D12" s="154"/>
      <c r="E12" s="154"/>
      <c r="F12" s="154"/>
      <c r="G12" s="154"/>
      <c r="H12" s="154"/>
      <c r="I12" s="154"/>
      <c r="J12" s="177"/>
      <c r="K12" s="177"/>
      <c r="L12" s="177"/>
    </row>
    <row r="13" spans="2:12" outlineLevel="1"/>
    <row r="14" spans="2:12" outlineLevel="1">
      <c r="B14" s="178" t="s">
        <v>211</v>
      </c>
      <c r="C14" s="179" t="s">
        <v>212</v>
      </c>
      <c r="D14" s="179" t="s">
        <v>78</v>
      </c>
      <c r="E14" s="179" t="s">
        <v>213</v>
      </c>
      <c r="F14" s="179" t="s">
        <v>214</v>
      </c>
      <c r="G14" s="179" t="s">
        <v>215</v>
      </c>
      <c r="H14" s="179" t="s">
        <v>216</v>
      </c>
      <c r="I14" s="179" t="s">
        <v>217</v>
      </c>
    </row>
    <row r="15" spans="2:12" outlineLevel="1">
      <c r="B15" s="180" t="s">
        <v>203</v>
      </c>
      <c r="C15" s="187">
        <f t="shared" ref="C15:C18" si="0">D7</f>
        <v>360848.72</v>
      </c>
      <c r="D15" s="151">
        <f t="shared" ref="D15:D18" si="1">E7</f>
        <v>2399.06</v>
      </c>
      <c r="E15" s="152">
        <f t="shared" ref="E15:E18" si="2">D15/C15</f>
        <v>6.648381626516508E-3</v>
      </c>
      <c r="F15" s="152">
        <f t="shared" ref="F15:F18" si="3">D15/(C15+D15)</f>
        <v>6.6044725724132437E-3</v>
      </c>
      <c r="G15" s="151">
        <f>Tax_rate</f>
        <v>0.25</v>
      </c>
      <c r="H15" s="151">
        <f t="shared" ref="H15:H18" si="4">L7</f>
        <v>0.65</v>
      </c>
      <c r="I15" s="153">
        <f t="shared" ref="I15:I18" si="5">H15/(1+E15*(1-G15))</f>
        <v>0.64677499475627909</v>
      </c>
    </row>
    <row r="16" spans="2:12" outlineLevel="1">
      <c r="B16" s="183" t="s">
        <v>204</v>
      </c>
      <c r="C16" s="187">
        <f t="shared" si="0"/>
        <v>273242.19</v>
      </c>
      <c r="D16" s="151">
        <f t="shared" si="1"/>
        <v>444.16</v>
      </c>
      <c r="E16" s="152">
        <f t="shared" si="2"/>
        <v>1.625517640595693E-3</v>
      </c>
      <c r="F16" s="152">
        <f t="shared" si="3"/>
        <v>1.622879621142962E-3</v>
      </c>
      <c r="G16" s="151">
        <f>Tax_rate</f>
        <v>0.25</v>
      </c>
      <c r="H16" s="151">
        <f t="shared" si="4"/>
        <v>0.42</v>
      </c>
      <c r="I16" s="153">
        <f t="shared" si="5"/>
        <v>0.41948858542826839</v>
      </c>
    </row>
    <row r="17" spans="2:15" outlineLevel="1">
      <c r="B17" s="180" t="s">
        <v>205</v>
      </c>
      <c r="C17" s="187">
        <f t="shared" si="0"/>
        <v>170484.65</v>
      </c>
      <c r="D17" s="151">
        <f t="shared" si="1"/>
        <v>2508.1799999999998</v>
      </c>
      <c r="E17" s="152">
        <f t="shared" si="2"/>
        <v>1.4712057654457454E-2</v>
      </c>
      <c r="F17" s="152">
        <f t="shared" si="3"/>
        <v>1.4498751191017571E-2</v>
      </c>
      <c r="G17" s="151">
        <f>Tax_rate</f>
        <v>0.25</v>
      </c>
      <c r="H17" s="151">
        <f t="shared" si="4"/>
        <v>0.85</v>
      </c>
      <c r="I17" s="153">
        <f t="shared" si="5"/>
        <v>0.84072342141452261</v>
      </c>
    </row>
    <row r="18" spans="2:15" outlineLevel="1">
      <c r="B18" s="183" t="s">
        <v>206</v>
      </c>
      <c r="C18" s="187">
        <f t="shared" si="0"/>
        <v>123204.09</v>
      </c>
      <c r="D18" s="151">
        <f t="shared" si="1"/>
        <v>1380.28</v>
      </c>
      <c r="E18" s="152">
        <f t="shared" si="2"/>
        <v>1.1203199504172305E-2</v>
      </c>
      <c r="F18" s="152">
        <f t="shared" si="3"/>
        <v>1.1079078378772554E-2</v>
      </c>
      <c r="G18" s="151">
        <f>Tax_rate</f>
        <v>0.25</v>
      </c>
      <c r="H18" s="151">
        <f t="shared" si="4"/>
        <v>0.55000000000000004</v>
      </c>
      <c r="I18" s="153">
        <f t="shared" si="5"/>
        <v>0.54541718683218599</v>
      </c>
    </row>
    <row r="19" spans="2:15" outlineLevel="1">
      <c r="B19" s="188" t="s">
        <v>218</v>
      </c>
      <c r="C19" s="189"/>
      <c r="D19" s="170"/>
      <c r="E19" s="168">
        <f t="shared" ref="E19:I19" si="6">AVERAGE(E15:E18)</f>
        <v>8.5472891064354902E-3</v>
      </c>
      <c r="F19" s="168">
        <f t="shared" si="6"/>
        <v>8.4512954408365835E-3</v>
      </c>
      <c r="G19" s="168">
        <f t="shared" si="6"/>
        <v>0.25</v>
      </c>
      <c r="H19" s="169">
        <f t="shared" si="6"/>
        <v>0.61749999999999994</v>
      </c>
      <c r="I19" s="169">
        <f t="shared" si="6"/>
        <v>0.61310104710781399</v>
      </c>
    </row>
    <row r="20" spans="2:15" outlineLevel="1">
      <c r="B20" s="188" t="s">
        <v>175</v>
      </c>
      <c r="C20" s="189"/>
      <c r="D20" s="170"/>
      <c r="E20" s="168">
        <f t="shared" ref="E20:I20" si="7">MEDIAN(E15:E18)</f>
        <v>8.9257905653444061E-3</v>
      </c>
      <c r="F20" s="168">
        <f t="shared" si="7"/>
        <v>8.841775475592898E-3</v>
      </c>
      <c r="G20" s="168">
        <f t="shared" si="7"/>
        <v>0.25</v>
      </c>
      <c r="H20" s="169">
        <f t="shared" si="7"/>
        <v>0.60000000000000009</v>
      </c>
      <c r="I20" s="169">
        <f t="shared" si="7"/>
        <v>0.59609609079423254</v>
      </c>
    </row>
    <row r="21" spans="2:15" outlineLevel="1"/>
    <row r="23" spans="2:15" ht="23.4">
      <c r="B23" s="154" t="s">
        <v>219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77"/>
      <c r="N23" s="177"/>
    </row>
    <row r="25" spans="2:15" hidden="1" outlineLevel="1">
      <c r="B25" s="178"/>
      <c r="C25" s="178"/>
      <c r="D25" s="178"/>
      <c r="E25" s="178"/>
      <c r="F25" s="178"/>
      <c r="G25" s="178"/>
      <c r="H25" s="178"/>
      <c r="I25" s="178"/>
      <c r="J25" s="179" t="s">
        <v>178</v>
      </c>
      <c r="K25" s="178"/>
      <c r="L25" s="178"/>
      <c r="M25" s="179" t="s">
        <v>179</v>
      </c>
      <c r="N25" s="178"/>
    </row>
    <row r="26" spans="2:15" hidden="1" outlineLevel="1">
      <c r="B26" s="178" t="s">
        <v>196</v>
      </c>
      <c r="C26" s="179" t="s">
        <v>208</v>
      </c>
      <c r="D26" s="179" t="s">
        <v>180</v>
      </c>
      <c r="E26" s="179" t="s">
        <v>77</v>
      </c>
      <c r="F26" s="179" t="s">
        <v>171</v>
      </c>
      <c r="G26" s="179" t="s">
        <v>238</v>
      </c>
      <c r="H26" s="179" t="s">
        <v>182</v>
      </c>
      <c r="I26" s="179" t="s">
        <v>20</v>
      </c>
      <c r="J26" s="179" t="s">
        <v>237</v>
      </c>
      <c r="K26" s="179" t="s">
        <v>183</v>
      </c>
      <c r="L26" s="179" t="s">
        <v>184</v>
      </c>
      <c r="M26" s="179" t="s">
        <v>152</v>
      </c>
      <c r="N26" s="179" t="s">
        <v>153</v>
      </c>
      <c r="O26" s="150"/>
    </row>
    <row r="27" spans="2:15" hidden="1" outlineLevel="1">
      <c r="B27" s="180" t="s">
        <v>203</v>
      </c>
      <c r="C27" s="181">
        <f>C7</f>
        <v>288</v>
      </c>
      <c r="D27" s="181">
        <f t="shared" ref="D27:D30" si="8">E27/C27</f>
        <v>1252.9469444444444</v>
      </c>
      <c r="E27" s="181">
        <f>D7</f>
        <v>360848.72</v>
      </c>
      <c r="F27" s="181">
        <f t="shared" ref="F27:F30" si="9">E6</f>
        <v>1478</v>
      </c>
      <c r="G27" s="181">
        <f t="shared" ref="G27:G30" si="10">J7</f>
        <v>3008.79</v>
      </c>
      <c r="H27" s="181">
        <f t="shared" ref="H27:H30" si="11">E27+F27</f>
        <v>362326.72</v>
      </c>
      <c r="I27" s="181">
        <f t="shared" ref="I27:I30" si="12">G7</f>
        <v>78868.399999999994</v>
      </c>
      <c r="J27" s="181">
        <f t="shared" ref="J27:J30" si="13">K7</f>
        <v>27306</v>
      </c>
      <c r="K27" s="181">
        <f t="shared" ref="K27:K30" si="14">I7</f>
        <v>21018.15</v>
      </c>
      <c r="L27" s="182">
        <f t="shared" ref="L27:L30" si="15">H27/I27</f>
        <v>4.5940670788300508</v>
      </c>
      <c r="M27" s="182">
        <f t="shared" ref="M27:M30" si="16">H27/J27</f>
        <v>13.269124734490587</v>
      </c>
      <c r="N27" s="182">
        <f t="shared" ref="N27:N30" si="17">E27/K27</f>
        <v>17.168433948753812</v>
      </c>
      <c r="O27" s="167"/>
    </row>
    <row r="28" spans="2:15" hidden="1" outlineLevel="1">
      <c r="B28" s="183" t="s">
        <v>204</v>
      </c>
      <c r="C28" s="181">
        <f t="shared" ref="C28:C30" si="18">C8</f>
        <v>1417</v>
      </c>
      <c r="D28" s="181">
        <f t="shared" si="8"/>
        <v>192.83146788990825</v>
      </c>
      <c r="E28" s="181">
        <f t="shared" ref="E28:E30" si="19">D8</f>
        <v>273242.19</v>
      </c>
      <c r="F28" s="181">
        <f t="shared" si="9"/>
        <v>2399.06</v>
      </c>
      <c r="G28" s="181">
        <f t="shared" si="10"/>
        <v>1340.87</v>
      </c>
      <c r="H28" s="181">
        <f t="shared" si="11"/>
        <v>275641.25</v>
      </c>
      <c r="I28" s="181">
        <f t="shared" si="12"/>
        <v>23154.6</v>
      </c>
      <c r="J28" s="181">
        <f t="shared" si="13"/>
        <v>5306.96</v>
      </c>
      <c r="K28" s="181">
        <f t="shared" si="14"/>
        <v>3544.6</v>
      </c>
      <c r="L28" s="182">
        <f t="shared" si="15"/>
        <v>11.904384010088709</v>
      </c>
      <c r="M28" s="182">
        <f t="shared" si="16"/>
        <v>51.939575576224428</v>
      </c>
      <c r="N28" s="182">
        <f t="shared" si="17"/>
        <v>77.086889917056936</v>
      </c>
      <c r="O28" s="167"/>
    </row>
    <row r="29" spans="2:15" hidden="1" outlineLevel="1">
      <c r="B29" s="180" t="s">
        <v>205</v>
      </c>
      <c r="C29" s="181">
        <f t="shared" si="18"/>
        <v>504.05</v>
      </c>
      <c r="D29" s="181">
        <f t="shared" si="8"/>
        <v>338.2296399166749</v>
      </c>
      <c r="E29" s="181">
        <f t="shared" si="19"/>
        <v>170484.65</v>
      </c>
      <c r="F29" s="181">
        <f t="shared" si="9"/>
        <v>444.16</v>
      </c>
      <c r="G29" s="181">
        <f t="shared" si="10"/>
        <v>1998.49</v>
      </c>
      <c r="H29" s="181">
        <f t="shared" si="11"/>
        <v>170928.81</v>
      </c>
      <c r="I29" s="181">
        <f t="shared" si="12"/>
        <v>22692.63</v>
      </c>
      <c r="J29" s="181">
        <f t="shared" si="13"/>
        <v>5304.92</v>
      </c>
      <c r="K29" s="181">
        <f t="shared" si="14"/>
        <v>3209.4</v>
      </c>
      <c r="L29" s="182">
        <f t="shared" si="15"/>
        <v>7.5323490490084222</v>
      </c>
      <c r="M29" s="182">
        <f>H29/J29</f>
        <v>32.220808230849855</v>
      </c>
      <c r="N29" s="182">
        <f t="shared" si="17"/>
        <v>53.120411914999686</v>
      </c>
      <c r="O29" s="167"/>
    </row>
    <row r="30" spans="2:15" hidden="1" outlineLevel="1">
      <c r="B30" s="183" t="s">
        <v>206</v>
      </c>
      <c r="C30" s="181">
        <f t="shared" si="18"/>
        <v>5115</v>
      </c>
      <c r="D30" s="181">
        <f t="shared" si="8"/>
        <v>24.086821114369499</v>
      </c>
      <c r="E30" s="181">
        <f t="shared" si="19"/>
        <v>123204.09</v>
      </c>
      <c r="F30" s="181">
        <f t="shared" si="9"/>
        <v>2508.1799999999998</v>
      </c>
      <c r="G30" s="181">
        <f t="shared" si="10"/>
        <v>352.44</v>
      </c>
      <c r="H30" s="181">
        <f t="shared" si="11"/>
        <v>125712.26999999999</v>
      </c>
      <c r="I30" s="181">
        <f t="shared" si="12"/>
        <v>19151.59</v>
      </c>
      <c r="J30" s="181">
        <f t="shared" si="13"/>
        <v>3514.34</v>
      </c>
      <c r="K30" s="181">
        <f t="shared" si="14"/>
        <v>2537.0100000000002</v>
      </c>
      <c r="L30" s="182">
        <f t="shared" si="15"/>
        <v>6.5640643936090939</v>
      </c>
      <c r="M30" s="182">
        <f t="shared" si="16"/>
        <v>35.771231582601565</v>
      </c>
      <c r="N30" s="182">
        <f t="shared" si="17"/>
        <v>48.562713588042612</v>
      </c>
      <c r="O30" s="167"/>
    </row>
    <row r="31" spans="2:15" hidden="1" outlineLevel="1"/>
    <row r="32" spans="2:15" hidden="1" outlineLevel="1">
      <c r="B32" s="186" t="s">
        <v>174</v>
      </c>
      <c r="C32" s="170"/>
      <c r="D32" s="170"/>
      <c r="E32" s="170"/>
      <c r="F32" s="170"/>
      <c r="G32" s="170"/>
      <c r="H32" s="170"/>
      <c r="I32" s="170"/>
      <c r="J32" s="170"/>
      <c r="K32" s="170"/>
      <c r="L32" s="171">
        <f>AVERAGE(L27:L30)</f>
        <v>7.6487161328840685</v>
      </c>
      <c r="M32" s="171">
        <f t="shared" ref="M32:N32" si="20">AVERAGE(M27:M30)</f>
        <v>33.300185031041607</v>
      </c>
      <c r="N32" s="171">
        <f t="shared" si="20"/>
        <v>48.984612342213261</v>
      </c>
    </row>
    <row r="33" spans="2:14" hidden="1" outlineLevel="1">
      <c r="B33" s="186" t="s">
        <v>175</v>
      </c>
      <c r="C33" s="170"/>
      <c r="D33" s="170"/>
      <c r="E33" s="170"/>
      <c r="F33" s="170"/>
      <c r="G33" s="170"/>
      <c r="H33" s="170"/>
      <c r="I33" s="170"/>
      <c r="J33" s="170"/>
      <c r="K33" s="170"/>
      <c r="L33" s="171">
        <f t="shared" ref="L33:N35" si="21">MEDIAN(L27:L30)</f>
        <v>7.048206721308758</v>
      </c>
      <c r="M33" s="171">
        <f t="shared" si="21"/>
        <v>33.996019906725707</v>
      </c>
      <c r="N33" s="171">
        <f t="shared" si="21"/>
        <v>50.841562751521153</v>
      </c>
    </row>
    <row r="34" spans="2:14" hidden="1" outlineLevel="1">
      <c r="B34" s="176"/>
    </row>
    <row r="35" spans="2:14" hidden="1" outlineLevel="1">
      <c r="B35" s="186" t="s">
        <v>239</v>
      </c>
      <c r="C35" s="175">
        <f>C6</f>
        <v>2130.15</v>
      </c>
      <c r="D35" s="175">
        <f>E35/C35</f>
        <v>234.95910616623243</v>
      </c>
      <c r="E35" s="175">
        <f t="shared" ref="E35:F35" si="22">D6</f>
        <v>500498.14</v>
      </c>
      <c r="F35" s="175">
        <f t="shared" si="22"/>
        <v>1478</v>
      </c>
      <c r="G35" s="175">
        <f>J6</f>
        <v>3248</v>
      </c>
      <c r="H35" s="175">
        <f>E35+F35</f>
        <v>501976.14</v>
      </c>
      <c r="I35" s="170">
        <f>G6</f>
        <v>64468</v>
      </c>
      <c r="J35" s="170">
        <f>K6</f>
        <v>15039</v>
      </c>
      <c r="K35" s="170">
        <f>I6</f>
        <v>15059</v>
      </c>
      <c r="L35" s="171">
        <f t="shared" si="21"/>
        <v>7.5323490490084222</v>
      </c>
      <c r="M35" s="171">
        <f t="shared" si="21"/>
        <v>33.300185031041607</v>
      </c>
      <c r="N35" s="171">
        <f t="shared" si="21"/>
        <v>48.984612342213261</v>
      </c>
    </row>
    <row r="36" spans="2:14" hidden="1" outlineLevel="1"/>
    <row r="37" spans="2:14" hidden="1" outlineLevel="1">
      <c r="B37" s="184" t="s">
        <v>190</v>
      </c>
      <c r="C37" s="185" t="s">
        <v>240</v>
      </c>
      <c r="D37" s="185" t="s">
        <v>182</v>
      </c>
      <c r="E37" s="185" t="s">
        <v>192</v>
      </c>
      <c r="F37" s="185" t="s">
        <v>101</v>
      </c>
      <c r="G37" s="185" t="s">
        <v>241</v>
      </c>
      <c r="H37" s="185" t="s">
        <v>193</v>
      </c>
    </row>
    <row r="38" spans="2:14" hidden="1" outlineLevel="1">
      <c r="B38" s="176" t="s">
        <v>184</v>
      </c>
      <c r="C38" s="172" cm="1">
        <f t="array" ref="C38:C40">TRANSPOSE(L33:N33)</f>
        <v>7.048206721308758</v>
      </c>
      <c r="D38" s="173">
        <f>H35*C38</f>
        <v>3538031.6038846262</v>
      </c>
      <c r="E38" s="173">
        <f t="shared" ref="E38:E40" si="23">$F$35</f>
        <v>1478</v>
      </c>
      <c r="F38" s="174">
        <f t="shared" ref="F38:F39" si="24">D38-E38</f>
        <v>3536553.6038846262</v>
      </c>
      <c r="G38" s="174">
        <f t="shared" ref="G38:G40" si="25">+$D$35</f>
        <v>234.95910616623243</v>
      </c>
      <c r="H38" s="174">
        <f t="shared" ref="H38:H40" si="26">F38/G38</f>
        <v>15051.783527736659</v>
      </c>
    </row>
    <row r="39" spans="2:14" hidden="1" outlineLevel="1">
      <c r="B39" s="176" t="s">
        <v>152</v>
      </c>
      <c r="C39" s="172">
        <v>33.996019906725707</v>
      </c>
      <c r="D39" s="173">
        <f>J35*C39</f>
        <v>511266.14337724791</v>
      </c>
      <c r="E39" s="173">
        <f t="shared" si="23"/>
        <v>1478</v>
      </c>
      <c r="F39" s="174">
        <f t="shared" si="24"/>
        <v>509788.14337724791</v>
      </c>
      <c r="G39" s="174">
        <f t="shared" si="25"/>
        <v>234.95910616623243</v>
      </c>
      <c r="H39" s="174">
        <f t="shared" si="26"/>
        <v>2169.6888096627986</v>
      </c>
    </row>
    <row r="40" spans="2:14" hidden="1" outlineLevel="1">
      <c r="B40" s="176" t="s">
        <v>153</v>
      </c>
      <c r="C40" s="172">
        <v>50.841562751521153</v>
      </c>
      <c r="D40" s="173">
        <f>F40+E40</f>
        <v>767101.09347515705</v>
      </c>
      <c r="E40" s="173">
        <f t="shared" si="23"/>
        <v>1478</v>
      </c>
      <c r="F40" s="174">
        <f>C40*K35</f>
        <v>765623.09347515705</v>
      </c>
      <c r="G40" s="174">
        <f t="shared" si="25"/>
        <v>234.95910616623243</v>
      </c>
      <c r="H40" s="174">
        <f t="shared" si="26"/>
        <v>3258.5376492430237</v>
      </c>
    </row>
    <row r="41" spans="2:14" collapsed="1">
      <c r="C41" s="151"/>
      <c r="D41" s="151"/>
      <c r="E41" s="151"/>
      <c r="F41" s="151"/>
      <c r="G41" s="151"/>
      <c r="H41" s="151"/>
    </row>
  </sheetData>
  <hyperlinks>
    <hyperlink ref="B5" r:id="rId1" location="constituents" display="https://www.screener.in/company/1007/?sort=name&amp;order=desc - constituents" xr:uid="{591D0B78-AF40-489F-8DAA-26FC9F410790}"/>
    <hyperlink ref="D5" r:id="rId2" location="constituents" display="https://www.screener.in/company/1007/?sort=market+capitalization&amp;order=desc - constituents" xr:uid="{41AFE7D2-47F6-4BC4-AF25-891A0F99D37A}"/>
    <hyperlink ref="E5" r:id="rId3" location="constituents" display="https://www.screener.in/company/1007/?sort=debt&amp;order=desc - constituents" xr:uid="{DC3B7155-B91C-4E2F-A0CA-FCD4A13EE1CF}"/>
    <hyperlink ref="F5" r:id="rId4" location="constituents" display="https://www.screener.in/company/1007/?sort=debt+to+equity&amp;order=desc - constituents" xr:uid="{D831B45B-168D-41E0-BDDE-841ED47184DF}"/>
    <hyperlink ref="G5" r:id="rId5" location="constituents" display="https://www.screener.in/company/1007/?sort=sales&amp;order=desc - constituents" xr:uid="{595C9879-48FC-4989-842C-E515AE091AE7}"/>
    <hyperlink ref="H5" r:id="rId6" location="constituents" display="https://www.screener.in/company/1007/?sort=evebitda&amp;order=desc - constituents" xr:uid="{00A7B6DA-D914-49EE-A57B-4A7211DF8384}"/>
    <hyperlink ref="J5" r:id="rId7" location="constituents" display="https://www.screener.in/company/1007/?sort=cash+equivalents&amp;order=desc - constituents" xr:uid="{EDA02F7A-6584-44C9-A5F3-1B9596C25F6A}"/>
    <hyperlink ref="B6" r:id="rId8" display="https://www.screener.in/company/HINDUNILVR/consolidated/" xr:uid="{566DB14A-C612-4284-8BA1-C06EB2D08153}"/>
    <hyperlink ref="B7" r:id="rId9" display="https://www.screener.in/company/ITC/consolidated/" xr:uid="{4DEF592B-A304-49D0-BF40-B48046F8A519}"/>
    <hyperlink ref="B8" r:id="rId10" display="https://www.screener.in/company/NESTLEIND/" xr:uid="{7BAE3A78-6784-4AEE-B7D6-67EFBAACD28A}"/>
    <hyperlink ref="B9" r:id="rId11" display="https://www.screener.in/company/VBL/consolidated/" xr:uid="{7C4C11E3-EA07-45EF-BE71-449F5714A3F8}"/>
    <hyperlink ref="B10" r:id="rId12" display="https://www.screener.in/company/BRITANNIA/consolidated/" xr:uid="{FFC16578-1C34-48D0-A6AA-63BE54A72EAF}"/>
    <hyperlink ref="B15" r:id="rId13" display="https://www.screener.in/company/ITC/consolidated/" xr:uid="{7E640988-1E3F-448B-98D3-2CBF01D916E8}"/>
    <hyperlink ref="B16" r:id="rId14" display="https://www.screener.in/company/NESTLEIND/" xr:uid="{1407086E-A334-4294-A683-78B96436123F}"/>
    <hyperlink ref="B17" r:id="rId15" display="https://www.screener.in/company/VBL/consolidated/" xr:uid="{CC9F893B-AB10-4C5B-8D3C-9E37EE3A9B92}"/>
    <hyperlink ref="B18" r:id="rId16" display="https://www.screener.in/company/BRITANNIA/consolidated/" xr:uid="{54E70DDE-4706-4F23-A22C-977815FA2520}"/>
    <hyperlink ref="B27" r:id="rId17" display="https://www.screener.in/company/ITC/consolidated/" xr:uid="{5AE028B6-D144-4854-8516-BC0EC9255402}"/>
    <hyperlink ref="B28" r:id="rId18" display="https://www.screener.in/company/NESTLEIND/" xr:uid="{35B010C3-66F7-4732-B653-AD2EE4AC55D2}"/>
    <hyperlink ref="B29" r:id="rId19" display="https://www.screener.in/company/VBL/consolidated/" xr:uid="{C100C2DD-0317-4F57-8294-2A01D59C07D8}"/>
    <hyperlink ref="B30" r:id="rId20" display="https://www.screener.in/company/BRITANNIA/consolidated/" xr:uid="{68F07827-30FB-4085-85D3-B16DC7340936}"/>
  </hyperlinks>
  <pageMargins left="0.7" right="0.7" top="0.75" bottom="0.75" header="0.3" footer="0.3"/>
  <ignoredErrors>
    <ignoredError sqref="J27:J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04" sqref="F104"/>
    </sheetView>
  </sheetViews>
  <sheetFormatPr defaultColWidth="14.44140625" defaultRowHeight="15" customHeight="1"/>
  <cols>
    <col min="1" max="1" width="27.6640625" customWidth="1"/>
    <col min="2" max="11" width="13.44140625" customWidth="1"/>
    <col min="12" max="26" width="8.88671875" customWidth="1"/>
  </cols>
  <sheetData>
    <row r="1" spans="1:26" ht="14.25" customHeight="1">
      <c r="A1" s="63" t="s">
        <v>110</v>
      </c>
      <c r="B1" s="63" t="s">
        <v>111</v>
      </c>
      <c r="C1" s="63"/>
      <c r="D1" s="63"/>
      <c r="E1" s="237" t="str">
        <f>IF(B2&lt;&gt;B3, "A NEW VERSION OF THE WORKSHEET IS AVAILABLE", "")</f>
        <v/>
      </c>
      <c r="F1" s="231"/>
      <c r="G1" s="231"/>
      <c r="H1" s="231"/>
      <c r="I1" s="231"/>
      <c r="J1" s="231"/>
      <c r="K1" s="231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 t="s">
        <v>112</v>
      </c>
      <c r="B2" s="64">
        <v>2.1</v>
      </c>
      <c r="C2" s="64"/>
      <c r="D2" s="64"/>
      <c r="E2" s="238" t="s">
        <v>113</v>
      </c>
      <c r="F2" s="239"/>
      <c r="G2" s="239"/>
      <c r="H2" s="239"/>
      <c r="I2" s="239"/>
      <c r="J2" s="239"/>
      <c r="K2" s="240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4.25" customHeight="1">
      <c r="A3" s="63" t="s">
        <v>114</v>
      </c>
      <c r="B3" s="64">
        <v>2.1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4.25" customHeight="1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4.25" customHeight="1">
      <c r="A5" s="63" t="s">
        <v>115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4.25" customHeight="1">
      <c r="A6" s="64" t="s">
        <v>116</v>
      </c>
      <c r="B6" s="64">
        <f>IF(B9&gt;0, B9/B8, 0)</f>
        <v>234.95910955431629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4.25" customHeight="1">
      <c r="A7" s="64" t="s">
        <v>117</v>
      </c>
      <c r="B7" s="65">
        <v>1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4.25" customHeight="1">
      <c r="A8" s="64" t="s">
        <v>118</v>
      </c>
      <c r="B8" s="65">
        <v>2169.6999999999998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4.25" customHeight="1">
      <c r="A9" s="64" t="s">
        <v>119</v>
      </c>
      <c r="B9" s="65">
        <v>509790.78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4.25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4.2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4.25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4.25" customHeight="1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4.2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4.25" customHeight="1">
      <c r="A15" s="63" t="s">
        <v>120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4.25" customHeight="1">
      <c r="A16" s="66" t="s">
        <v>121</v>
      </c>
      <c r="B16" s="67">
        <v>42825</v>
      </c>
      <c r="C16" s="67">
        <v>43190</v>
      </c>
      <c r="D16" s="67">
        <v>43555</v>
      </c>
      <c r="E16" s="67">
        <v>43921</v>
      </c>
      <c r="F16" s="67">
        <v>44286</v>
      </c>
      <c r="G16" s="67">
        <v>44651</v>
      </c>
      <c r="H16" s="67">
        <v>45016</v>
      </c>
      <c r="I16" s="67">
        <v>45382</v>
      </c>
      <c r="J16" s="67">
        <v>45747</v>
      </c>
      <c r="K16" s="67">
        <v>46112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4.25" customHeight="1">
      <c r="A17" s="64" t="s">
        <v>20</v>
      </c>
      <c r="B17" s="65">
        <v>33162</v>
      </c>
      <c r="C17" s="65">
        <v>35545</v>
      </c>
      <c r="D17" s="65">
        <v>39310</v>
      </c>
      <c r="E17" s="65">
        <v>39783</v>
      </c>
      <c r="F17" s="65">
        <v>47028</v>
      </c>
      <c r="G17" s="65">
        <v>52446</v>
      </c>
      <c r="H17" s="65">
        <v>60580</v>
      </c>
      <c r="I17" s="65">
        <v>61896</v>
      </c>
      <c r="J17" s="65">
        <v>61328</v>
      </c>
      <c r="K17" s="65">
        <v>64468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4.25" customHeight="1">
      <c r="A18" s="64" t="s">
        <v>122</v>
      </c>
      <c r="B18" s="65">
        <v>13606</v>
      </c>
      <c r="C18" s="65">
        <v>14233</v>
      </c>
      <c r="D18" s="65">
        <v>15845</v>
      </c>
      <c r="E18" s="65">
        <v>15697</v>
      </c>
      <c r="F18" s="65">
        <v>20141</v>
      </c>
      <c r="G18" s="65">
        <v>22871</v>
      </c>
      <c r="H18" s="65">
        <v>28427</v>
      </c>
      <c r="I18" s="65">
        <v>26822</v>
      </c>
      <c r="J18" s="65">
        <v>26602</v>
      </c>
      <c r="K18" s="65">
        <v>29158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4.25" customHeight="1">
      <c r="A19" s="64" t="s">
        <v>123</v>
      </c>
      <c r="B19" s="65">
        <v>-144</v>
      </c>
      <c r="C19" s="65">
        <v>72</v>
      </c>
      <c r="D19" s="65">
        <v>-12</v>
      </c>
      <c r="E19" s="65">
        <v>108</v>
      </c>
      <c r="F19" s="65">
        <v>405</v>
      </c>
      <c r="G19" s="65">
        <v>22</v>
      </c>
      <c r="H19" s="65">
        <v>75</v>
      </c>
      <c r="I19" s="65">
        <v>11</v>
      </c>
      <c r="J19" s="65">
        <v>125</v>
      </c>
      <c r="K19" s="65">
        <v>429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4.25" customHeight="1">
      <c r="A20" s="64" t="s">
        <v>124</v>
      </c>
      <c r="B20" s="65">
        <v>295</v>
      </c>
      <c r="C20" s="65">
        <v>295</v>
      </c>
      <c r="D20" s="65">
        <v>308</v>
      </c>
      <c r="E20" s="65">
        <v>299</v>
      </c>
      <c r="F20" s="65">
        <v>339</v>
      </c>
      <c r="G20" s="65">
        <v>318</v>
      </c>
      <c r="H20" s="65">
        <v>384</v>
      </c>
      <c r="I20" s="65">
        <v>446</v>
      </c>
      <c r="J20" s="65">
        <v>403</v>
      </c>
      <c r="K20" s="65">
        <v>426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4.25" customHeight="1">
      <c r="A21" s="64" t="s">
        <v>125</v>
      </c>
      <c r="B21" s="65">
        <v>2887</v>
      </c>
      <c r="C21" s="65">
        <v>2998</v>
      </c>
      <c r="D21" s="65">
        <v>3041</v>
      </c>
      <c r="E21" s="65">
        <v>2906</v>
      </c>
      <c r="F21" s="65">
        <v>2868</v>
      </c>
      <c r="G21" s="65">
        <v>3354</v>
      </c>
      <c r="H21" s="65">
        <v>3791</v>
      </c>
      <c r="I21" s="65">
        <v>3385</v>
      </c>
      <c r="J21" s="65">
        <v>3687</v>
      </c>
      <c r="K21" s="65">
        <v>3304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4.25" customHeight="1">
      <c r="A22" s="64" t="s">
        <v>126</v>
      </c>
      <c r="B22" s="65">
        <v>1743</v>
      </c>
      <c r="C22" s="65">
        <v>1860</v>
      </c>
      <c r="D22" s="65">
        <v>1875</v>
      </c>
      <c r="E22" s="65">
        <v>1820</v>
      </c>
      <c r="F22" s="65">
        <v>2358</v>
      </c>
      <c r="G22" s="65">
        <v>2545</v>
      </c>
      <c r="H22" s="65">
        <v>2854</v>
      </c>
      <c r="I22" s="65">
        <v>3009</v>
      </c>
      <c r="J22" s="65">
        <v>2952</v>
      </c>
      <c r="K22" s="65">
        <v>3175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4.25" customHeight="1">
      <c r="A23" s="64" t="s">
        <v>127</v>
      </c>
      <c r="B23" s="65">
        <v>6689</v>
      </c>
      <c r="C23" s="65">
        <v>7252</v>
      </c>
      <c r="D23" s="65">
        <v>7796</v>
      </c>
      <c r="E23" s="65">
        <v>7620</v>
      </c>
      <c r="F23" s="65">
        <v>7906</v>
      </c>
      <c r="G23" s="65">
        <v>8164</v>
      </c>
      <c r="H23" s="65">
        <v>8785</v>
      </c>
      <c r="I23" s="65">
        <v>10780</v>
      </c>
      <c r="J23" s="65">
        <v>10145</v>
      </c>
      <c r="K23" s="65">
        <v>10744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4.25" customHeight="1">
      <c r="A24" s="64" t="s">
        <v>128</v>
      </c>
      <c r="B24" s="65">
        <v>1470</v>
      </c>
      <c r="C24" s="65">
        <v>1480</v>
      </c>
      <c r="D24" s="65">
        <v>1553</v>
      </c>
      <c r="E24" s="65">
        <v>1688</v>
      </c>
      <c r="F24" s="65">
        <v>2195</v>
      </c>
      <c r="G24" s="65">
        <v>2359</v>
      </c>
      <c r="H24" s="65">
        <v>2267</v>
      </c>
      <c r="I24" s="65">
        <v>2806</v>
      </c>
      <c r="J24" s="65">
        <v>2966</v>
      </c>
      <c r="K24" s="65">
        <v>3051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4.25" customHeight="1">
      <c r="A25" s="64" t="s">
        <v>31</v>
      </c>
      <c r="B25" s="65">
        <v>606</v>
      </c>
      <c r="C25" s="65">
        <v>353</v>
      </c>
      <c r="D25" s="65">
        <v>322</v>
      </c>
      <c r="E25" s="65">
        <v>424</v>
      </c>
      <c r="F25" s="65">
        <v>170</v>
      </c>
      <c r="G25" s="65">
        <v>219</v>
      </c>
      <c r="H25" s="65">
        <v>448</v>
      </c>
      <c r="I25" s="65">
        <v>817</v>
      </c>
      <c r="J25" s="65">
        <v>1355</v>
      </c>
      <c r="K25" s="65">
        <v>4923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4.25" customHeight="1">
      <c r="A26" s="64" t="s">
        <v>28</v>
      </c>
      <c r="B26" s="65">
        <v>432</v>
      </c>
      <c r="C26" s="65">
        <v>520</v>
      </c>
      <c r="D26" s="65">
        <v>565</v>
      </c>
      <c r="E26" s="65">
        <v>1002</v>
      </c>
      <c r="F26" s="65">
        <v>1074</v>
      </c>
      <c r="G26" s="65">
        <v>1091</v>
      </c>
      <c r="H26" s="65">
        <v>1137</v>
      </c>
      <c r="I26" s="65">
        <v>1216</v>
      </c>
      <c r="J26" s="65">
        <v>1253</v>
      </c>
      <c r="K26" s="65">
        <v>1333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4.25" customHeight="1">
      <c r="A27" s="64" t="s">
        <v>32</v>
      </c>
      <c r="B27" s="65">
        <v>35</v>
      </c>
      <c r="C27" s="65">
        <v>26</v>
      </c>
      <c r="D27" s="65">
        <v>33</v>
      </c>
      <c r="E27" s="65">
        <v>118</v>
      </c>
      <c r="F27" s="65">
        <v>117</v>
      </c>
      <c r="G27" s="65">
        <v>106</v>
      </c>
      <c r="H27" s="65">
        <v>114</v>
      </c>
      <c r="I27" s="65">
        <v>334</v>
      </c>
      <c r="J27" s="65">
        <v>381</v>
      </c>
      <c r="K27" s="65">
        <v>410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4.25" customHeight="1">
      <c r="A28" s="64" t="s">
        <v>34</v>
      </c>
      <c r="B28" s="65">
        <v>6467</v>
      </c>
      <c r="C28" s="65">
        <v>7306</v>
      </c>
      <c r="D28" s="65">
        <v>8604</v>
      </c>
      <c r="E28" s="65">
        <v>9165</v>
      </c>
      <c r="F28" s="65">
        <v>10605</v>
      </c>
      <c r="G28" s="65">
        <v>11879</v>
      </c>
      <c r="H28" s="65">
        <v>13344</v>
      </c>
      <c r="I28" s="65">
        <v>13926</v>
      </c>
      <c r="J28" s="65">
        <v>14419</v>
      </c>
      <c r="K28" s="65">
        <v>18219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4.25" customHeight="1">
      <c r="A29" s="64" t="s">
        <v>35</v>
      </c>
      <c r="B29" s="65">
        <v>1977</v>
      </c>
      <c r="C29" s="65">
        <v>2079</v>
      </c>
      <c r="D29" s="65">
        <v>2544</v>
      </c>
      <c r="E29" s="65">
        <v>2409</v>
      </c>
      <c r="F29" s="65">
        <v>2606</v>
      </c>
      <c r="G29" s="65">
        <v>2987</v>
      </c>
      <c r="H29" s="65">
        <v>3201</v>
      </c>
      <c r="I29" s="65">
        <v>3644</v>
      </c>
      <c r="J29" s="65">
        <v>3748</v>
      </c>
      <c r="K29" s="65">
        <v>3160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4.25" customHeight="1">
      <c r="A30" s="64" t="s">
        <v>37</v>
      </c>
      <c r="B30" s="65">
        <v>4476</v>
      </c>
      <c r="C30" s="65">
        <v>5214</v>
      </c>
      <c r="D30" s="65">
        <v>6054</v>
      </c>
      <c r="E30" s="65">
        <v>6748</v>
      </c>
      <c r="F30" s="65">
        <v>7995</v>
      </c>
      <c r="G30" s="65">
        <v>8879</v>
      </c>
      <c r="H30" s="65">
        <v>10120</v>
      </c>
      <c r="I30" s="65">
        <v>10277</v>
      </c>
      <c r="J30" s="65">
        <v>10649</v>
      </c>
      <c r="K30" s="65">
        <v>15040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4.25" customHeight="1">
      <c r="A31" s="64" t="s">
        <v>129</v>
      </c>
      <c r="B31" s="65">
        <v>3672</v>
      </c>
      <c r="C31" s="65">
        <v>4320</v>
      </c>
      <c r="D31" s="65">
        <v>4752</v>
      </c>
      <c r="E31" s="65">
        <v>5400</v>
      </c>
      <c r="F31" s="65">
        <v>9517.5</v>
      </c>
      <c r="G31" s="65">
        <v>7990</v>
      </c>
      <c r="H31" s="65">
        <v>9165</v>
      </c>
      <c r="I31" s="65">
        <v>9870</v>
      </c>
      <c r="J31" s="65">
        <v>12455</v>
      </c>
      <c r="K31" s="65">
        <v>9635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4.2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4.2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4.2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4.2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4.2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4.2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4.2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4.2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4.25" customHeight="1">
      <c r="A40" s="63" t="s">
        <v>130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4.25" customHeight="1">
      <c r="A41" s="66" t="s">
        <v>121</v>
      </c>
      <c r="B41" s="67">
        <v>45291</v>
      </c>
      <c r="C41" s="67">
        <v>45382</v>
      </c>
      <c r="D41" s="67">
        <v>45473</v>
      </c>
      <c r="E41" s="67">
        <v>45565</v>
      </c>
      <c r="F41" s="67">
        <v>45657</v>
      </c>
      <c r="G41" s="67">
        <v>45747</v>
      </c>
      <c r="H41" s="67">
        <v>45838</v>
      </c>
      <c r="I41" s="67">
        <v>45930</v>
      </c>
      <c r="J41" s="67">
        <v>46022</v>
      </c>
      <c r="K41" s="67">
        <v>46112</v>
      </c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ht="14.25" customHeight="1">
      <c r="A42" s="64" t="s">
        <v>20</v>
      </c>
      <c r="B42" s="65">
        <v>15567</v>
      </c>
      <c r="C42" s="65">
        <v>15210</v>
      </c>
      <c r="D42" s="65">
        <v>15707</v>
      </c>
      <c r="E42" s="65">
        <v>15926</v>
      </c>
      <c r="F42" s="65">
        <v>15556</v>
      </c>
      <c r="G42" s="65">
        <v>15190</v>
      </c>
      <c r="H42" s="65">
        <v>16514</v>
      </c>
      <c r="I42" s="65">
        <v>15919</v>
      </c>
      <c r="J42" s="65">
        <v>16441</v>
      </c>
      <c r="K42" s="65">
        <v>16351</v>
      </c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4.25" customHeight="1">
      <c r="A43" s="64" t="s">
        <v>131</v>
      </c>
      <c r="B43" s="65">
        <v>11902</v>
      </c>
      <c r="C43" s="65">
        <v>11675</v>
      </c>
      <c r="D43" s="65">
        <v>11965</v>
      </c>
      <c r="E43" s="65">
        <v>12139</v>
      </c>
      <c r="F43" s="65">
        <v>11867</v>
      </c>
      <c r="G43" s="65">
        <v>11572</v>
      </c>
      <c r="H43" s="65">
        <v>12797</v>
      </c>
      <c r="I43" s="65">
        <v>12137</v>
      </c>
      <c r="J43" s="65">
        <v>12660</v>
      </c>
      <c r="K43" s="65">
        <v>12514</v>
      </c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4.25" customHeight="1">
      <c r="A44" s="64" t="s">
        <v>31</v>
      </c>
      <c r="B44" s="65">
        <v>184</v>
      </c>
      <c r="C44" s="65">
        <v>309</v>
      </c>
      <c r="D44" s="65">
        <v>209</v>
      </c>
      <c r="E44" s="65">
        <v>203</v>
      </c>
      <c r="F44" s="65">
        <v>733</v>
      </c>
      <c r="G44" s="65">
        <v>149</v>
      </c>
      <c r="H44" s="65">
        <v>74</v>
      </c>
      <c r="I44" s="65">
        <v>269</v>
      </c>
      <c r="J44" s="65">
        <v>4048</v>
      </c>
      <c r="K44" s="65">
        <v>503</v>
      </c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4.25" customHeight="1">
      <c r="A45" s="64" t="s">
        <v>28</v>
      </c>
      <c r="B45" s="65">
        <v>313</v>
      </c>
      <c r="C45" s="65">
        <v>320</v>
      </c>
      <c r="D45" s="65">
        <v>329</v>
      </c>
      <c r="E45" s="65">
        <v>338</v>
      </c>
      <c r="F45" s="65">
        <v>318</v>
      </c>
      <c r="G45" s="65">
        <v>318</v>
      </c>
      <c r="H45" s="65">
        <v>361</v>
      </c>
      <c r="I45" s="65">
        <v>322</v>
      </c>
      <c r="J45" s="65">
        <v>337</v>
      </c>
      <c r="K45" s="65">
        <v>348</v>
      </c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4.25" customHeight="1">
      <c r="A46" s="64" t="s">
        <v>32</v>
      </c>
      <c r="B46" s="65">
        <v>91</v>
      </c>
      <c r="C46" s="65">
        <v>105</v>
      </c>
      <c r="D46" s="65">
        <v>93</v>
      </c>
      <c r="E46" s="65">
        <v>110</v>
      </c>
      <c r="F46" s="65">
        <v>109</v>
      </c>
      <c r="G46" s="65">
        <v>77</v>
      </c>
      <c r="H46" s="65">
        <v>127</v>
      </c>
      <c r="I46" s="65">
        <v>124</v>
      </c>
      <c r="J46" s="65">
        <v>88</v>
      </c>
      <c r="K46" s="65">
        <v>76</v>
      </c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4.25" customHeight="1">
      <c r="A47" s="64" t="s">
        <v>34</v>
      </c>
      <c r="B47" s="65">
        <v>3445</v>
      </c>
      <c r="C47" s="65">
        <v>3419</v>
      </c>
      <c r="D47" s="65">
        <v>3529</v>
      </c>
      <c r="E47" s="65">
        <v>3542</v>
      </c>
      <c r="F47" s="65">
        <v>3995</v>
      </c>
      <c r="G47" s="65">
        <v>3372</v>
      </c>
      <c r="H47" s="65">
        <v>3303</v>
      </c>
      <c r="I47" s="65">
        <v>3605</v>
      </c>
      <c r="J47" s="65">
        <v>7404</v>
      </c>
      <c r="K47" s="65">
        <v>3916</v>
      </c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4.25" customHeight="1">
      <c r="A48" s="64" t="s">
        <v>35</v>
      </c>
      <c r="B48" s="65">
        <v>937</v>
      </c>
      <c r="C48" s="65">
        <v>858</v>
      </c>
      <c r="D48" s="65">
        <v>917</v>
      </c>
      <c r="E48" s="65">
        <v>947</v>
      </c>
      <c r="F48" s="65">
        <v>1006</v>
      </c>
      <c r="G48" s="65">
        <v>897</v>
      </c>
      <c r="H48" s="65">
        <v>535</v>
      </c>
      <c r="I48" s="65">
        <v>911</v>
      </c>
      <c r="J48" s="65">
        <v>801</v>
      </c>
      <c r="K48" s="65">
        <v>922</v>
      </c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4.25" customHeight="1">
      <c r="A49" s="64" t="s">
        <v>37</v>
      </c>
      <c r="B49" s="65">
        <v>2509</v>
      </c>
      <c r="C49" s="65">
        <v>2558</v>
      </c>
      <c r="D49" s="65">
        <v>2610</v>
      </c>
      <c r="E49" s="65">
        <v>2591</v>
      </c>
      <c r="F49" s="65">
        <v>2984</v>
      </c>
      <c r="G49" s="65">
        <v>2464</v>
      </c>
      <c r="H49" s="65">
        <v>2756</v>
      </c>
      <c r="I49" s="65">
        <v>2685</v>
      </c>
      <c r="J49" s="65">
        <v>6607</v>
      </c>
      <c r="K49" s="65">
        <v>2992</v>
      </c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4.25" customHeight="1">
      <c r="A50" s="64" t="s">
        <v>132</v>
      </c>
      <c r="B50" s="65">
        <v>3665</v>
      </c>
      <c r="C50" s="65">
        <v>3535</v>
      </c>
      <c r="D50" s="65">
        <v>3742</v>
      </c>
      <c r="E50" s="65">
        <v>3787</v>
      </c>
      <c r="F50" s="65">
        <v>3689</v>
      </c>
      <c r="G50" s="65">
        <v>3618</v>
      </c>
      <c r="H50" s="65">
        <v>3717</v>
      </c>
      <c r="I50" s="65">
        <v>3782</v>
      </c>
      <c r="J50" s="65">
        <v>3781</v>
      </c>
      <c r="K50" s="65">
        <v>3837</v>
      </c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4.2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4.2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4.2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4.2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4.25" customHeight="1">
      <c r="A55" s="63" t="s">
        <v>38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4.25" customHeight="1">
      <c r="A56" s="66" t="s">
        <v>121</v>
      </c>
      <c r="B56" s="67">
        <v>42825</v>
      </c>
      <c r="C56" s="67">
        <v>43190</v>
      </c>
      <c r="D56" s="67">
        <v>43555</v>
      </c>
      <c r="E56" s="67">
        <v>43921</v>
      </c>
      <c r="F56" s="67">
        <v>44286</v>
      </c>
      <c r="G56" s="67">
        <v>44651</v>
      </c>
      <c r="H56" s="67">
        <v>45016</v>
      </c>
      <c r="I56" s="67">
        <v>45382</v>
      </c>
      <c r="J56" s="67">
        <v>45747</v>
      </c>
      <c r="K56" s="67">
        <v>46112</v>
      </c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4.25" customHeight="1">
      <c r="A57" s="64" t="s">
        <v>39</v>
      </c>
      <c r="B57" s="65">
        <v>216</v>
      </c>
      <c r="C57" s="65">
        <v>216</v>
      </c>
      <c r="D57" s="65">
        <v>216</v>
      </c>
      <c r="E57" s="65">
        <v>216</v>
      </c>
      <c r="F57" s="65">
        <v>235</v>
      </c>
      <c r="G57" s="65">
        <v>235</v>
      </c>
      <c r="H57" s="65">
        <v>235</v>
      </c>
      <c r="I57" s="65">
        <v>235</v>
      </c>
      <c r="J57" s="65">
        <v>235</v>
      </c>
      <c r="K57" s="65">
        <v>235</v>
      </c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4.25" customHeight="1">
      <c r="A58" s="64" t="s">
        <v>40</v>
      </c>
      <c r="B58" s="65">
        <v>6528</v>
      </c>
      <c r="C58" s="65">
        <v>7065</v>
      </c>
      <c r="D58" s="65">
        <v>7651</v>
      </c>
      <c r="E58" s="65">
        <v>8013</v>
      </c>
      <c r="F58" s="65">
        <v>47439</v>
      </c>
      <c r="G58" s="65">
        <v>48826</v>
      </c>
      <c r="H58" s="65">
        <v>50069</v>
      </c>
      <c r="I58" s="65">
        <v>50983</v>
      </c>
      <c r="J58" s="65">
        <v>49167</v>
      </c>
      <c r="K58" s="65">
        <v>48504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4.25" customHeight="1">
      <c r="A59" s="64" t="s">
        <v>41</v>
      </c>
      <c r="B59" s="65">
        <v>277</v>
      </c>
      <c r="C59" s="65"/>
      <c r="D59" s="65">
        <v>99</v>
      </c>
      <c r="E59" s="65"/>
      <c r="F59" s="65"/>
      <c r="G59" s="65">
        <v>1043</v>
      </c>
      <c r="H59" s="65">
        <v>1219</v>
      </c>
      <c r="I59" s="65">
        <v>1484</v>
      </c>
      <c r="J59" s="65">
        <v>1648</v>
      </c>
      <c r="K59" s="65">
        <v>1478</v>
      </c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4.25" customHeight="1">
      <c r="A60" s="64" t="s">
        <v>42</v>
      </c>
      <c r="B60" s="65">
        <v>8685</v>
      </c>
      <c r="C60" s="65">
        <v>10581</v>
      </c>
      <c r="D60" s="65">
        <v>10663</v>
      </c>
      <c r="E60" s="65">
        <v>11924</v>
      </c>
      <c r="F60" s="65">
        <v>21066</v>
      </c>
      <c r="G60" s="65">
        <v>20402</v>
      </c>
      <c r="H60" s="65">
        <v>21554</v>
      </c>
      <c r="I60" s="65">
        <v>25787</v>
      </c>
      <c r="J60" s="65">
        <v>28813</v>
      </c>
      <c r="K60" s="65">
        <v>29521</v>
      </c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4.25" customHeight="1">
      <c r="A61" s="63" t="s">
        <v>43</v>
      </c>
      <c r="B61" s="65">
        <v>15706</v>
      </c>
      <c r="C61" s="65">
        <v>17862</v>
      </c>
      <c r="D61" s="65">
        <v>18629</v>
      </c>
      <c r="E61" s="65">
        <v>20153</v>
      </c>
      <c r="F61" s="65">
        <v>68740</v>
      </c>
      <c r="G61" s="65">
        <v>70506</v>
      </c>
      <c r="H61" s="65">
        <v>73077</v>
      </c>
      <c r="I61" s="65">
        <v>78489</v>
      </c>
      <c r="J61" s="65">
        <v>79863</v>
      </c>
      <c r="K61" s="65">
        <v>79738</v>
      </c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4" t="s">
        <v>44</v>
      </c>
      <c r="B62" s="65">
        <v>4419</v>
      </c>
      <c r="C62" s="65">
        <v>4528</v>
      </c>
      <c r="D62" s="65">
        <v>4715</v>
      </c>
      <c r="E62" s="65">
        <v>5479</v>
      </c>
      <c r="F62" s="65">
        <v>51443</v>
      </c>
      <c r="G62" s="65">
        <v>51473</v>
      </c>
      <c r="H62" s="65">
        <v>52678</v>
      </c>
      <c r="I62" s="65">
        <v>53744</v>
      </c>
      <c r="J62" s="65">
        <v>54335</v>
      </c>
      <c r="K62" s="65">
        <v>57428</v>
      </c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4.25" customHeight="1">
      <c r="A63" s="64" t="s">
        <v>45</v>
      </c>
      <c r="B63" s="65">
        <v>229</v>
      </c>
      <c r="C63" s="65">
        <v>461</v>
      </c>
      <c r="D63" s="65">
        <v>406</v>
      </c>
      <c r="E63" s="65">
        <v>597</v>
      </c>
      <c r="F63" s="65">
        <v>745</v>
      </c>
      <c r="G63" s="65">
        <v>1313</v>
      </c>
      <c r="H63" s="65">
        <v>1132</v>
      </c>
      <c r="I63" s="65">
        <v>1025</v>
      </c>
      <c r="J63" s="65">
        <v>1009</v>
      </c>
      <c r="K63" s="65">
        <v>880</v>
      </c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4.25" customHeight="1">
      <c r="A64" s="64" t="s">
        <v>46</v>
      </c>
      <c r="B64" s="65">
        <v>3794</v>
      </c>
      <c r="C64" s="65">
        <v>2873</v>
      </c>
      <c r="D64" s="65">
        <v>2716</v>
      </c>
      <c r="E64" s="65">
        <v>1255</v>
      </c>
      <c r="F64" s="65">
        <v>2709</v>
      </c>
      <c r="G64" s="65">
        <v>3521</v>
      </c>
      <c r="H64" s="65">
        <v>2882</v>
      </c>
      <c r="I64" s="65">
        <v>4625</v>
      </c>
      <c r="J64" s="65">
        <v>3810</v>
      </c>
      <c r="K64" s="65">
        <v>4359</v>
      </c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4.25" customHeight="1">
      <c r="A65" s="64" t="s">
        <v>50</v>
      </c>
      <c r="B65" s="65">
        <v>7264</v>
      </c>
      <c r="C65" s="65">
        <v>10000</v>
      </c>
      <c r="D65" s="65">
        <v>10792</v>
      </c>
      <c r="E65" s="65">
        <v>12822</v>
      </c>
      <c r="F65" s="65">
        <v>13843</v>
      </c>
      <c r="G65" s="65">
        <v>14199</v>
      </c>
      <c r="H65" s="65">
        <v>16385</v>
      </c>
      <c r="I65" s="65">
        <v>19095</v>
      </c>
      <c r="J65" s="65">
        <v>20709</v>
      </c>
      <c r="K65" s="65">
        <v>17071</v>
      </c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4.25" customHeight="1">
      <c r="A66" s="63" t="s">
        <v>43</v>
      </c>
      <c r="B66" s="65">
        <v>15706</v>
      </c>
      <c r="C66" s="65">
        <v>17862</v>
      </c>
      <c r="D66" s="65">
        <v>18629</v>
      </c>
      <c r="E66" s="65">
        <v>20153</v>
      </c>
      <c r="F66" s="65">
        <v>68740</v>
      </c>
      <c r="G66" s="65">
        <v>70506</v>
      </c>
      <c r="H66" s="65">
        <v>73077</v>
      </c>
      <c r="I66" s="65">
        <v>78489</v>
      </c>
      <c r="J66" s="65">
        <v>79863</v>
      </c>
      <c r="K66" s="65">
        <v>79738</v>
      </c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4" t="s">
        <v>47</v>
      </c>
      <c r="B67" s="65">
        <v>1085</v>
      </c>
      <c r="C67" s="65">
        <v>1310</v>
      </c>
      <c r="D67" s="65">
        <v>1816</v>
      </c>
      <c r="E67" s="65">
        <v>1149</v>
      </c>
      <c r="F67" s="65">
        <v>1758</v>
      </c>
      <c r="G67" s="65">
        <v>2236</v>
      </c>
      <c r="H67" s="65">
        <v>3079</v>
      </c>
      <c r="I67" s="65">
        <v>2997</v>
      </c>
      <c r="J67" s="65">
        <v>3819</v>
      </c>
      <c r="K67" s="65">
        <v>3379</v>
      </c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4.25" customHeight="1">
      <c r="A68" s="64" t="s">
        <v>48</v>
      </c>
      <c r="B68" s="65">
        <v>2541</v>
      </c>
      <c r="C68" s="65">
        <v>2513</v>
      </c>
      <c r="D68" s="65">
        <v>2574</v>
      </c>
      <c r="E68" s="65">
        <v>2767</v>
      </c>
      <c r="F68" s="65">
        <v>3579</v>
      </c>
      <c r="G68" s="65">
        <v>4096</v>
      </c>
      <c r="H68" s="65">
        <v>4251</v>
      </c>
      <c r="I68" s="65">
        <v>4022</v>
      </c>
      <c r="J68" s="65">
        <v>4415</v>
      </c>
      <c r="K68" s="65">
        <v>4789</v>
      </c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4.25" customHeight="1">
      <c r="A69" s="64" t="s">
        <v>49</v>
      </c>
      <c r="B69" s="65">
        <v>1828</v>
      </c>
      <c r="C69" s="65">
        <v>3485</v>
      </c>
      <c r="D69" s="65">
        <v>3757</v>
      </c>
      <c r="E69" s="65">
        <v>5113</v>
      </c>
      <c r="F69" s="65">
        <v>4471</v>
      </c>
      <c r="G69" s="65">
        <v>3846</v>
      </c>
      <c r="H69" s="65">
        <v>4678</v>
      </c>
      <c r="I69" s="65">
        <v>7559</v>
      </c>
      <c r="J69" s="65">
        <v>7554</v>
      </c>
      <c r="K69" s="65">
        <v>3248</v>
      </c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4.25" customHeight="1">
      <c r="A70" s="64" t="s">
        <v>133</v>
      </c>
      <c r="B70" s="65">
        <v>2164349639</v>
      </c>
      <c r="C70" s="65">
        <v>2164528777</v>
      </c>
      <c r="D70" s="65">
        <v>2164704405</v>
      </c>
      <c r="E70" s="65">
        <v>2164704405</v>
      </c>
      <c r="F70" s="65">
        <v>2349567819</v>
      </c>
      <c r="G70" s="65">
        <v>2349591262</v>
      </c>
      <c r="H70" s="65">
        <v>2349591262</v>
      </c>
      <c r="I70" s="65">
        <v>2349591262</v>
      </c>
      <c r="J70" s="65">
        <v>2349591262</v>
      </c>
      <c r="K70" s="65">
        <v>2349591262</v>
      </c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4.25" customHeight="1">
      <c r="A71" s="64" t="s">
        <v>134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4.25" customHeight="1">
      <c r="A72" s="64" t="s">
        <v>135</v>
      </c>
      <c r="B72" s="65">
        <v>1</v>
      </c>
      <c r="C72" s="65">
        <v>1</v>
      </c>
      <c r="D72" s="65">
        <v>1</v>
      </c>
      <c r="E72" s="65">
        <v>1</v>
      </c>
      <c r="F72" s="65">
        <v>1</v>
      </c>
      <c r="G72" s="65">
        <v>1</v>
      </c>
      <c r="H72" s="65">
        <v>1</v>
      </c>
      <c r="I72" s="65">
        <v>1</v>
      </c>
      <c r="J72" s="65">
        <v>1</v>
      </c>
      <c r="K72" s="65">
        <v>1</v>
      </c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4.2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4.2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4.2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4.2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4.2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4.2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4.2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4.25" customHeight="1">
      <c r="A80" s="63" t="s">
        <v>136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4.25" customHeight="1">
      <c r="A81" s="66" t="s">
        <v>121</v>
      </c>
      <c r="B81" s="67">
        <v>42825</v>
      </c>
      <c r="C81" s="67">
        <v>43190</v>
      </c>
      <c r="D81" s="67">
        <v>43555</v>
      </c>
      <c r="E81" s="67">
        <v>43921</v>
      </c>
      <c r="F81" s="67">
        <v>44286</v>
      </c>
      <c r="G81" s="67">
        <v>44651</v>
      </c>
      <c r="H81" s="67">
        <v>45016</v>
      </c>
      <c r="I81" s="67">
        <v>45382</v>
      </c>
      <c r="J81" s="67">
        <v>45747</v>
      </c>
      <c r="K81" s="67">
        <v>46112</v>
      </c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4.25" customHeight="1">
      <c r="A82" s="64" t="s">
        <v>137</v>
      </c>
      <c r="B82" s="65">
        <v>5185</v>
      </c>
      <c r="C82" s="65">
        <v>6059</v>
      </c>
      <c r="D82" s="65">
        <v>5800</v>
      </c>
      <c r="E82" s="65">
        <v>7623</v>
      </c>
      <c r="F82" s="65">
        <v>9163</v>
      </c>
      <c r="G82" s="65">
        <v>9048</v>
      </c>
      <c r="H82" s="65">
        <v>9991</v>
      </c>
      <c r="I82" s="65">
        <v>15469</v>
      </c>
      <c r="J82" s="65">
        <v>11886</v>
      </c>
      <c r="K82" s="65">
        <v>10999</v>
      </c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4" t="s">
        <v>138</v>
      </c>
      <c r="B83" s="65">
        <v>-1173</v>
      </c>
      <c r="C83" s="65">
        <v>-1063</v>
      </c>
      <c r="D83" s="65">
        <v>-438</v>
      </c>
      <c r="E83" s="65">
        <v>1791</v>
      </c>
      <c r="F83" s="65">
        <v>-1228</v>
      </c>
      <c r="G83" s="65">
        <v>-1728</v>
      </c>
      <c r="H83" s="65">
        <v>-1484</v>
      </c>
      <c r="I83" s="65">
        <v>-5324</v>
      </c>
      <c r="J83" s="65">
        <v>6473</v>
      </c>
      <c r="K83" s="65">
        <v>-3676</v>
      </c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4.25" customHeight="1">
      <c r="A84" s="64" t="s">
        <v>139</v>
      </c>
      <c r="B84" s="65">
        <v>-4214</v>
      </c>
      <c r="C84" s="65">
        <v>-4975</v>
      </c>
      <c r="D84" s="65">
        <v>-5390</v>
      </c>
      <c r="E84" s="65">
        <v>-6819</v>
      </c>
      <c r="F84" s="65">
        <v>-9309</v>
      </c>
      <c r="G84" s="65">
        <v>-8015</v>
      </c>
      <c r="H84" s="65">
        <v>-8953</v>
      </c>
      <c r="I84" s="65">
        <v>-10034</v>
      </c>
      <c r="J84" s="65">
        <v>-13101</v>
      </c>
      <c r="K84" s="65">
        <v>-10810</v>
      </c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4.25" customHeight="1">
      <c r="A85" s="64" t="s">
        <v>140</v>
      </c>
      <c r="B85" s="65">
        <v>-202</v>
      </c>
      <c r="C85" s="65">
        <v>21</v>
      </c>
      <c r="D85" s="65">
        <v>-28</v>
      </c>
      <c r="E85" s="65">
        <v>2595</v>
      </c>
      <c r="F85" s="65">
        <v>-1374</v>
      </c>
      <c r="G85" s="65">
        <v>-695</v>
      </c>
      <c r="H85" s="65">
        <v>-446</v>
      </c>
      <c r="I85" s="65">
        <v>111</v>
      </c>
      <c r="J85" s="65">
        <v>5258</v>
      </c>
      <c r="K85" s="65">
        <v>-3487</v>
      </c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4.25" customHeight="1">
      <c r="A87" s="64" t="s">
        <v>250</v>
      </c>
      <c r="B87" s="64"/>
      <c r="C87" s="64"/>
      <c r="D87" s="64"/>
      <c r="E87" s="64"/>
      <c r="F87" s="64"/>
      <c r="G87" s="64"/>
      <c r="H87" s="64"/>
      <c r="I87" s="64">
        <f t="shared" ref="I87:K87" si="0">SUM(H67:H68)-SUM(I67:I68)</f>
        <v>311</v>
      </c>
      <c r="J87" s="64">
        <f t="shared" si="0"/>
        <v>-1215</v>
      </c>
      <c r="K87" s="64">
        <f t="shared" si="0"/>
        <v>66</v>
      </c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4.25" customHeight="1">
      <c r="A88" s="64" t="s">
        <v>249</v>
      </c>
      <c r="B88" s="64"/>
      <c r="C88" s="64"/>
      <c r="D88" s="64"/>
      <c r="E88" s="64"/>
      <c r="F88" s="64"/>
      <c r="G88" s="64"/>
      <c r="H88" s="64"/>
      <c r="I88" s="64">
        <f t="shared" ref="I88:K88" si="1">I87+I83</f>
        <v>-5013</v>
      </c>
      <c r="J88" s="64">
        <f t="shared" si="1"/>
        <v>5258</v>
      </c>
      <c r="K88" s="64">
        <f t="shared" si="1"/>
        <v>-3610</v>
      </c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4.25" customHeight="1">
      <c r="A89" s="149" t="s">
        <v>68</v>
      </c>
      <c r="B89" s="64"/>
      <c r="C89" s="64"/>
      <c r="D89" s="64"/>
      <c r="E89" s="64"/>
      <c r="F89" s="64"/>
      <c r="G89" s="64"/>
      <c r="H89" s="64"/>
      <c r="I89" s="64">
        <f>'DCF Model'!E52*(1-Tax_rate)</f>
        <v>10082.25</v>
      </c>
      <c r="J89" s="64">
        <f>'DCF Model'!F52*(1-Tax_rate)</f>
        <v>10083.75</v>
      </c>
      <c r="K89" s="64">
        <f>'DCF Model'!G52*(1-Tax_rate)</f>
        <v>10279.5</v>
      </c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4.25" customHeight="1">
      <c r="A90" s="64"/>
      <c r="B90" s="64"/>
      <c r="C90" s="64"/>
      <c r="D90" s="64"/>
      <c r="E90" s="64"/>
      <c r="F90" s="64"/>
      <c r="G90" s="64"/>
      <c r="H90" s="64"/>
      <c r="I90" s="64">
        <f t="shared" ref="I90:K90" si="2">I88/I89</f>
        <v>-0.4972104440972997</v>
      </c>
      <c r="J90" s="64">
        <f t="shared" si="2"/>
        <v>0.52143299863642001</v>
      </c>
      <c r="K90" s="64">
        <f t="shared" si="2"/>
        <v>-0.35118439612821634</v>
      </c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4.25" customHeight="1">
      <c r="A91" s="63" t="s">
        <v>141</v>
      </c>
      <c r="B91" s="65">
        <v>872.61</v>
      </c>
      <c r="C91" s="65">
        <v>1276.1099999999999</v>
      </c>
      <c r="D91" s="65">
        <v>1633.53</v>
      </c>
      <c r="E91" s="65">
        <v>2199.83</v>
      </c>
      <c r="F91" s="65">
        <v>2327.12</v>
      </c>
      <c r="G91" s="65">
        <v>1960.7</v>
      </c>
      <c r="H91" s="65">
        <v>2450.44</v>
      </c>
      <c r="I91" s="65">
        <v>2167.14</v>
      </c>
      <c r="J91" s="65">
        <v>2161.88</v>
      </c>
      <c r="K91" s="65">
        <v>2055.1999999999998</v>
      </c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4.25" customHeight="1">
      <c r="A93" s="63" t="s">
        <v>142</v>
      </c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4" t="s">
        <v>143</v>
      </c>
      <c r="B94" s="69">
        <v>216.43</v>
      </c>
      <c r="C94" s="69">
        <v>216.45</v>
      </c>
      <c r="D94" s="69">
        <v>216.47</v>
      </c>
      <c r="E94" s="69">
        <v>216.48</v>
      </c>
      <c r="F94" s="69">
        <v>234.96</v>
      </c>
      <c r="G94" s="69">
        <v>234.96</v>
      </c>
      <c r="H94" s="69">
        <v>234.96</v>
      </c>
      <c r="I94" s="69">
        <v>234.96</v>
      </c>
      <c r="J94" s="69">
        <v>234.96</v>
      </c>
      <c r="K94" s="69">
        <v>234.96</v>
      </c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4.2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4.2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4.2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4.2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4.2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4.2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4.2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4.2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4.2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4.2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4.2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4.2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4.2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4.2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4.2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4.2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4.2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4.2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4.2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4.2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4.2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4.2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4.2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4.2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4.2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4.2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4.2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4.2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4.2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4.2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4.2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4.2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4.2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4.2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4.2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4.2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4.2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4.2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4.2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4.2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4.2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4.2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4.2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4.2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4.2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4.2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4.2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4.2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4.2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4.2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4.2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4.2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4.2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4.2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4.2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4.2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4.2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4.2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4.2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4.2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4.2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4.2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4.2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4.2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4.2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4.2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4.2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4.2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4.2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4.2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4.2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4.2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4.2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4.2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4.2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4.2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4.2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4.2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4.2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4.2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4.2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4.2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4.2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4.2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4.2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4.2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4.2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4.2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4.2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4.2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4.2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4.2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4.2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4.2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4.2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4.2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4.2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4.2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4.2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4.2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4.2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4.2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4.2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4.2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4.2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4.2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4.2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4.2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4.2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4.2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4.2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4.2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4.2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4.2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4.2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4.2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4.2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4.2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4.2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4.2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4.2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4.2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4.2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4.2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4.2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4.2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4.2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4.2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4.2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4.2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4.2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4.2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4.2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4.2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4.2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4.2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4.2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4.2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4.2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4.2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4.2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4.2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4.2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4.2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4.2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4.2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4.2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4.2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4.2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4.2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4.2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4.2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4.2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4.2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4.2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4.2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4.2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4.2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4.2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4.2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4.2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4.2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4.2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4.2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4.2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4.2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4.2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4.2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4.2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4.2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4.2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4.2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4.2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4.2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4.2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4.2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4.2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4.2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4.2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4.2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4.2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4.2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4.2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4.2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4.2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4.2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4.2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4.2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4.2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4.2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4.2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4.2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4.2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4.2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4.2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4.2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4.2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4.2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4.2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4.2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4.2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4.2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4.2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4.2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4.2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4.2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4.2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4.2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4.2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4.2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4.2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4.2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4.2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4.2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4.2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4.2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4.2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4.2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4.2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4.2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4.2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4.2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4.2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4.2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4.2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4.2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4.2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4.2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4.2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4.2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4.2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4.2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4.2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4.2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4.2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4.2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4.2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4.2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4.2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4.2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4.2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4.2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4.2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4.2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4.2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4.2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4.2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4.2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4.2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4.2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4.2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4.2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4.2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4.2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4.2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4.2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4.2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4.2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4.2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4.2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4.2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4.2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4.2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4.2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4.2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4.2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4.2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4.2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4.2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4.2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4.2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4.2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4.2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4.2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4.2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4.2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4.2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4.2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4.2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4.2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4.2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4.2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4.2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4.2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4.2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4.2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4.2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4.2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4.2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4.2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4.2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4.2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4.2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4.2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4.2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4.2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4.2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4.2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4.2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4.2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4.2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4.2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4.2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4.2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4.2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4.2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4.2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4.2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4.2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4.2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4.2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4.2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4.2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4.2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4.2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4.2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4.2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4.2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4.2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4.2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4.2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4.2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4.2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4.2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4.2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4.2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4.2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4.2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4.2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4.2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4.2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4.2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4.2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4.2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4.2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4.2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4.2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4.2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4.2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4.2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4.2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4.2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4.2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4.2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4.2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4.2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4.2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4.2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4.2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4.2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4.2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4.2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4.2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4.2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4.2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4.2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4.2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4.2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4.2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4.2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4.2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4.2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4.2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4.2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4.2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4.2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4.2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4.2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4.2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4.2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4.2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4.2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4.2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4.2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4.2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4.2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4.2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4.2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4.2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4.2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4.2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4.2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4.2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4.2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4.2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4.2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4.2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4.2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4.2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4.2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4.2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4.2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4.2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4.2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4.2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4.2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4.2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4.2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4.2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4.2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4.2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4.2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4.2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4.2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4.2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4.2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4.2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4.2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4.2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4.2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4.2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4.2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4.2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4.2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4.2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4.2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4.2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4.2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4.2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4.2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4.2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4.2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4.2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4.2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4.2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4.2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4.2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4.2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4.2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4.2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4.2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4.2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4.2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4.2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4.2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4.2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4.2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4.2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4.2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4.2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4.2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4.2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4.2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4.2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4.2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4.2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4.2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4.2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4.2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4.2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4.2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4.2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4.2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4.2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4.2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4.2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4.2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4.2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4.2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4.2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4.2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4.2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4.2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4.2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4.2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4.2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4.2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4.2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4.2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4.2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4.2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4.2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4.2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4.2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4.2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4.2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4.2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4.2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4.2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4.2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4.2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4.2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4.2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4.2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4.2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4.2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4.2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4.2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4.2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4.2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4.2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4.2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4.2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4.2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4.2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4.2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4.2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4.2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4.2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4.2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4.2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4.2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4.2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4.2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4.2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4.2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4.2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4.2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4.2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4.2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4.2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4.2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4.2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4.2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4.2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4.2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4.2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4.2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4.2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4.2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4.2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4.2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4.2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4.2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4.2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4.2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4.2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4.2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4.2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4.2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4.2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4.2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4.2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4.2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4.2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4.2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4.2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4.2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4.2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4.2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4.2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4.2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4.2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4.2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4.2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4.2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4.2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4.2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4.2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4.2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4.2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4.2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4.2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4.2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4.2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4.2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4.2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4.2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4.2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4.2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4.2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4.2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4.2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4.2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4.2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4.2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4.2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4.2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4.2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4.2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4.2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4.2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4.2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4.2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4.2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4.2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4.2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4.2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4.2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4.2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4.2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4.2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4.2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4.2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4.2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4.2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4.2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4.2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4.2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4.2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4.2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4.2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4.2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4.2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4.2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4.2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4.2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4.2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4.2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4.2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4.2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4.2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4.2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4.2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4.2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4.2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4.2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4.2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4.2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4.2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4.2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4.2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4.2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4.2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4.2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4.2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4.2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4.2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4.2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4.2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4.2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4.2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4.2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4.2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4.2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4.2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4.2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4.2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4.2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4.2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4.2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4.2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4.2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4.2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4.2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4.2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4.2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4.2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4.2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4.2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4.2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4.2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4.2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4.2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4.2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4.2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4.2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4.2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4.2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4.2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4.2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4.2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4.2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4.2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4.2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4.2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4.2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4.2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4.2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4.2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4.2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4.2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4.2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4.2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4.2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4.2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4.2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4.2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4.2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4.2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4.2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4.2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4.2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4.2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4.2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4.2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4.2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4.2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4.2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4.2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4.2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4.2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4.2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4.2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4.2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4.2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4.2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4.2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4.2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4.2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4.2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4.2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4.2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4.2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4.2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4.2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4.2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4.2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4.2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4.2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4.2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4.2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4.2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4.2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4.2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4.2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4.2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4.2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4.2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4.2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4.2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4.2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4.2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4.2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4.2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4.2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4.2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4.2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4.2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4.2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4.2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4.2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4.2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4.2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4.2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4.2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4.2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4.2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4.2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4.2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4.2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4.2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4.2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4.2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4.2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4.2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4.2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4.2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4.2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4.2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4.2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4.2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4.2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4.2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4.2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4.2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4.2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4.2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4.2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4.2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4.2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4.2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4.2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4.2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4.2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4.2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4.2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4.2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4.2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4.2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4.2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4.2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4.2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4.2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4.2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4.2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4.2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4.2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4.2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4.2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4.2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4.2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4.2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4.2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4.2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4.2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4.2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4.2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4.2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4.2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4.2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4.2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4.2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4.2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4.2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4.2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4.2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4.2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4.2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4.2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4.2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4.2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4.2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4.2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4.2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4.2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4.2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4.2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4.2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4.2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4.2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4.2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4.2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4.2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4.2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4.2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4.2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4.2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4.2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4.2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4.2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4.2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4.2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4.2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4.2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4.2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4.2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4.2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4.2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4.2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4.2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4.2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4.2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4.2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4.2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4.2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4.2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4.2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4.2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4.2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4.2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4.2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4.2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4.2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4.2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4.2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4.2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4.2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4.2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4.2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4.2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4.2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4.2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4.2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4.2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4.2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4.2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4.2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4.2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4.2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4.2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4.2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4.2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4.2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4.2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4.2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4.2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4.2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4.2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4.2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4.2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4.2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4.2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4.2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4.2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4.2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4.2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4.2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4.2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4.2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4.2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4.2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4.2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4.2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4.2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4.2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4.2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4.2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4.2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4.2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4.2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4.2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4.2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4.2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4.2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4.2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4.2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4.2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4.2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4.2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4.2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4.2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4.2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4.2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4.2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4.2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4.2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4.2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4.2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4.2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4.2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4.2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4.2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4.2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4.2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4.2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spans="1:26" ht="14.2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defaultColWidth="14.44140625" defaultRowHeight="15" customHeight="1"/>
  <cols>
    <col min="1" max="1" width="1.6640625" customWidth="1"/>
    <col min="2" max="2" width="34.109375" customWidth="1"/>
    <col min="3" max="3" width="12" customWidth="1"/>
    <col min="4" max="4" width="8.88671875" customWidth="1"/>
    <col min="5" max="5" width="12.33203125" customWidth="1"/>
    <col min="6" max="6" width="13.33203125" customWidth="1"/>
    <col min="7" max="7" width="8.44140625" customWidth="1"/>
    <col min="8" max="8" width="14.33203125" customWidth="1"/>
    <col min="9" max="10" width="10.88671875" customWidth="1"/>
    <col min="11" max="11" width="13.44140625" customWidth="1"/>
    <col min="12" max="12" width="11.44140625" customWidth="1"/>
    <col min="13" max="13" width="9.44140625" customWidth="1"/>
    <col min="14" max="14" width="11.5546875" customWidth="1"/>
    <col min="15" max="15" width="7.33203125" customWidth="1"/>
    <col min="16" max="16" width="9" customWidth="1"/>
    <col min="17" max="17" width="9.6640625" customWidth="1"/>
    <col min="18" max="18" width="11.44140625" customWidth="1"/>
    <col min="19" max="26" width="9" customWidth="1"/>
  </cols>
  <sheetData>
    <row r="1" spans="1:26" ht="14.25" customHeight="1">
      <c r="A1" s="1"/>
      <c r="B1" s="2" t="s">
        <v>144</v>
      </c>
      <c r="D1" s="3"/>
      <c r="E1" s="3"/>
      <c r="F1" s="3"/>
      <c r="G1" s="3"/>
      <c r="H1" s="70"/>
      <c r="I1" s="70"/>
      <c r="J1" s="70"/>
      <c r="K1" s="70"/>
      <c r="L1" s="70"/>
      <c r="M1" s="7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" t="s">
        <v>1</v>
      </c>
      <c r="D2" s="3"/>
      <c r="E2" s="3"/>
      <c r="F2" s="3"/>
      <c r="G2" s="3"/>
      <c r="H2" s="70"/>
      <c r="I2" s="70"/>
      <c r="J2" s="70"/>
      <c r="K2" s="70"/>
      <c r="L2" s="70"/>
      <c r="M2" s="7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7" t="s">
        <v>145</v>
      </c>
      <c r="C6" s="15"/>
      <c r="D6" s="15"/>
      <c r="E6" s="15"/>
      <c r="F6" s="7"/>
      <c r="G6" s="15"/>
      <c r="H6" s="15"/>
      <c r="I6" s="15"/>
      <c r="J6" s="7"/>
      <c r="K6" s="15"/>
      <c r="L6" s="15"/>
      <c r="M6" s="1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1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36" t="s">
        <v>146</v>
      </c>
      <c r="C8" s="71" t="s">
        <v>147</v>
      </c>
      <c r="D8" s="71" t="s">
        <v>148</v>
      </c>
      <c r="E8" s="71" t="s">
        <v>77</v>
      </c>
      <c r="F8" s="71" t="s">
        <v>20</v>
      </c>
      <c r="G8" s="71" t="s">
        <v>27</v>
      </c>
      <c r="H8" s="71" t="s">
        <v>149</v>
      </c>
      <c r="I8" s="71" t="s">
        <v>150</v>
      </c>
      <c r="J8" s="71" t="s">
        <v>78</v>
      </c>
      <c r="K8" s="72" t="s">
        <v>151</v>
      </c>
      <c r="L8" s="71" t="s">
        <v>152</v>
      </c>
      <c r="M8" s="73" t="s">
        <v>153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39" t="s">
        <v>154</v>
      </c>
      <c r="C9" s="74" t="s">
        <v>155</v>
      </c>
      <c r="D9" s="74">
        <v>4791</v>
      </c>
      <c r="E9" s="74">
        <v>170282</v>
      </c>
      <c r="F9" s="74">
        <v>17135</v>
      </c>
      <c r="G9" s="74">
        <v>9270</v>
      </c>
      <c r="H9" s="74">
        <v>1448</v>
      </c>
      <c r="I9" s="75">
        <v>0.79</v>
      </c>
      <c r="J9" s="74">
        <v>2237</v>
      </c>
      <c r="K9" s="74">
        <v>973</v>
      </c>
      <c r="L9" s="74">
        <v>110.1</v>
      </c>
      <c r="M9" s="74">
        <v>102.3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39" t="s">
        <v>156</v>
      </c>
      <c r="C10" s="74" t="s">
        <v>157</v>
      </c>
      <c r="D10" s="74">
        <v>4274</v>
      </c>
      <c r="E10" s="74">
        <v>278260</v>
      </c>
      <c r="F10" s="74">
        <v>59358</v>
      </c>
      <c r="G10" s="74">
        <v>22940</v>
      </c>
      <c r="H10" s="74">
        <v>2707</v>
      </c>
      <c r="I10" s="75">
        <v>0.63</v>
      </c>
      <c r="J10" s="74">
        <v>1609</v>
      </c>
      <c r="K10" s="74">
        <v>210</v>
      </c>
      <c r="L10" s="74">
        <v>101.3</v>
      </c>
      <c r="M10" s="74">
        <v>93.4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39" t="s">
        <v>158</v>
      </c>
      <c r="C11" s="74" t="s">
        <v>159</v>
      </c>
      <c r="D11" s="74">
        <v>148</v>
      </c>
      <c r="E11" s="74">
        <v>69155</v>
      </c>
      <c r="F11" s="74">
        <v>10716</v>
      </c>
      <c r="G11" s="74">
        <v>2730</v>
      </c>
      <c r="H11" s="74">
        <v>632</v>
      </c>
      <c r="I11" s="75">
        <v>0.92</v>
      </c>
      <c r="J11" s="74">
        <v>1093</v>
      </c>
      <c r="K11" s="74">
        <v>986</v>
      </c>
      <c r="L11" s="74">
        <v>109.6</v>
      </c>
      <c r="M11" s="74">
        <v>133.4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39" t="s">
        <v>160</v>
      </c>
      <c r="C12" s="74" t="s">
        <v>161</v>
      </c>
      <c r="D12" s="74">
        <v>139</v>
      </c>
      <c r="E12" s="74">
        <v>16959</v>
      </c>
      <c r="F12" s="74">
        <v>7830</v>
      </c>
      <c r="G12" s="74">
        <v>820</v>
      </c>
      <c r="H12" s="74">
        <v>59.6</v>
      </c>
      <c r="I12" s="75">
        <v>0.88</v>
      </c>
      <c r="J12" s="74">
        <v>512</v>
      </c>
      <c r="K12" s="74">
        <v>407</v>
      </c>
      <c r="L12" s="74">
        <v>283.5</v>
      </c>
      <c r="M12" s="74">
        <v>123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39" t="s">
        <v>162</v>
      </c>
      <c r="C13" s="74" t="s">
        <v>163</v>
      </c>
      <c r="D13" s="74">
        <v>688</v>
      </c>
      <c r="E13" s="74">
        <v>16720</v>
      </c>
      <c r="F13" s="74">
        <v>1386</v>
      </c>
      <c r="G13" s="74">
        <v>610</v>
      </c>
      <c r="H13" s="74">
        <v>388</v>
      </c>
      <c r="I13" s="75">
        <v>0.55000000000000004</v>
      </c>
      <c r="J13" s="74">
        <v>483</v>
      </c>
      <c r="K13" s="74">
        <v>726</v>
      </c>
      <c r="L13" s="74">
        <v>42.3</v>
      </c>
      <c r="M13" s="74">
        <v>87.9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7" t="s">
        <v>164</v>
      </c>
      <c r="C15" s="15"/>
      <c r="D15" s="15"/>
      <c r="E15" s="15"/>
      <c r="F15" s="7"/>
      <c r="G15" s="15"/>
      <c r="H15" s="15"/>
      <c r="I15" s="15"/>
      <c r="J15" s="7"/>
      <c r="K15" s="15"/>
      <c r="L15" s="15"/>
      <c r="M15" s="1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76"/>
      <c r="C17" s="77" t="s">
        <v>165</v>
      </c>
      <c r="D17" s="77" t="s">
        <v>166</v>
      </c>
      <c r="E17" s="77" t="s">
        <v>167</v>
      </c>
      <c r="F17" s="77" t="s">
        <v>167</v>
      </c>
      <c r="G17" s="77" t="s">
        <v>35</v>
      </c>
      <c r="H17" s="77" t="s">
        <v>168</v>
      </c>
      <c r="I17" s="78" t="s">
        <v>169</v>
      </c>
      <c r="J17" s="7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79" t="s">
        <v>170</v>
      </c>
      <c r="C18" s="80" t="s">
        <v>5</v>
      </c>
      <c r="D18" s="80" t="s">
        <v>171</v>
      </c>
      <c r="E18" s="80" t="s">
        <v>165</v>
      </c>
      <c r="F18" s="80" t="s">
        <v>172</v>
      </c>
      <c r="G18" s="80" t="s">
        <v>173</v>
      </c>
      <c r="H18" s="80" t="s">
        <v>150</v>
      </c>
      <c r="I18" s="81" t="s">
        <v>150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39" t="str">
        <f t="shared" ref="B19:B22" si="0">B10</f>
        <v>Avenue Supermarts (DMART)</v>
      </c>
      <c r="C19" s="74"/>
      <c r="D19" s="74"/>
      <c r="E19" s="82"/>
      <c r="F19" s="82"/>
      <c r="G19" s="82"/>
      <c r="H19" s="75"/>
      <c r="I19" s="7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39" t="str">
        <f t="shared" si="0"/>
        <v>Vishal Mega Mart</v>
      </c>
      <c r="C20" s="74"/>
      <c r="D20" s="74"/>
      <c r="E20" s="82"/>
      <c r="F20" s="82"/>
      <c r="G20" s="82"/>
      <c r="H20" s="75"/>
      <c r="I20" s="7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39" t="str">
        <f t="shared" si="0"/>
        <v>Aditya Birla Lifestyle Brands</v>
      </c>
      <c r="C21" s="74"/>
      <c r="D21" s="74"/>
      <c r="E21" s="82"/>
      <c r="F21" s="82"/>
      <c r="G21" s="82"/>
      <c r="H21" s="75"/>
      <c r="I21" s="7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39" t="str">
        <f t="shared" si="0"/>
        <v>Vedant Fashions (Manyavar)</v>
      </c>
      <c r="C22" s="74"/>
      <c r="D22" s="74"/>
      <c r="E22" s="82"/>
      <c r="F22" s="82"/>
      <c r="G22" s="82"/>
      <c r="H22" s="75"/>
      <c r="I22" s="7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80" t="s">
        <v>174</v>
      </c>
      <c r="C23" s="80"/>
      <c r="D23" s="80"/>
      <c r="E23" s="83"/>
      <c r="F23" s="83"/>
      <c r="G23" s="83"/>
      <c r="H23" s="84"/>
      <c r="I23" s="8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80" t="s">
        <v>175</v>
      </c>
      <c r="C24" s="80"/>
      <c r="D24" s="80"/>
      <c r="E24" s="83"/>
      <c r="F24" s="83"/>
      <c r="G24" s="83"/>
      <c r="H24" s="84"/>
      <c r="I24" s="8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6"/>
      <c r="C25" s="16"/>
      <c r="D25" s="16"/>
      <c r="E25" s="16"/>
      <c r="F25" s="16"/>
      <c r="G25" s="85"/>
      <c r="H25" s="16"/>
      <c r="I25" s="16"/>
      <c r="J25" s="16"/>
      <c r="K25" s="16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7" t="s">
        <v>176</v>
      </c>
      <c r="C26" s="15"/>
      <c r="D26" s="15"/>
      <c r="E26" s="15"/>
      <c r="F26" s="7"/>
      <c r="G26" s="15"/>
      <c r="H26" s="15"/>
      <c r="I26" s="15"/>
      <c r="J26" s="7"/>
      <c r="K26" s="15"/>
      <c r="L26" s="15"/>
      <c r="M26" s="1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6"/>
      <c r="C27" s="16"/>
      <c r="D27" s="16"/>
      <c r="E27" s="16"/>
      <c r="F27" s="16"/>
      <c r="G27" s="85"/>
      <c r="H27" s="16"/>
      <c r="I27" s="16"/>
      <c r="J27" s="16"/>
      <c r="K27" s="16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86"/>
      <c r="C28" s="87"/>
      <c r="D28" s="241" t="s">
        <v>177</v>
      </c>
      <c r="E28" s="239"/>
      <c r="F28" s="239"/>
      <c r="G28" s="239"/>
      <c r="H28" s="239"/>
      <c r="I28" s="240"/>
      <c r="J28" s="241" t="s">
        <v>178</v>
      </c>
      <c r="K28" s="239"/>
      <c r="L28" s="240"/>
      <c r="M28" s="241" t="s">
        <v>179</v>
      </c>
      <c r="N28" s="239"/>
      <c r="O28" s="24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86"/>
      <c r="C29" s="88"/>
      <c r="D29" s="88" t="s">
        <v>148</v>
      </c>
      <c r="E29" s="88" t="s">
        <v>180</v>
      </c>
      <c r="F29" s="88" t="s">
        <v>77</v>
      </c>
      <c r="G29" s="88" t="s">
        <v>171</v>
      </c>
      <c r="H29" s="88" t="s">
        <v>181</v>
      </c>
      <c r="I29" s="88" t="s">
        <v>182</v>
      </c>
      <c r="J29" s="88" t="s">
        <v>20</v>
      </c>
      <c r="K29" s="88" t="s">
        <v>27</v>
      </c>
      <c r="L29" s="88" t="s">
        <v>183</v>
      </c>
      <c r="M29" s="88" t="s">
        <v>184</v>
      </c>
      <c r="N29" s="88" t="s">
        <v>152</v>
      </c>
      <c r="O29" s="88" t="s">
        <v>153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79" t="s">
        <v>170</v>
      </c>
      <c r="C30" s="80" t="s">
        <v>147</v>
      </c>
      <c r="D30" s="80" t="s">
        <v>185</v>
      </c>
      <c r="E30" s="80" t="s">
        <v>186</v>
      </c>
      <c r="F30" s="80" t="s">
        <v>187</v>
      </c>
      <c r="G30" s="80"/>
      <c r="H30" s="80" t="s">
        <v>188</v>
      </c>
      <c r="I30" s="80" t="s">
        <v>187</v>
      </c>
      <c r="J30" s="80" t="s">
        <v>187</v>
      </c>
      <c r="K30" s="80" t="s">
        <v>187</v>
      </c>
      <c r="L30" s="80" t="s">
        <v>187</v>
      </c>
      <c r="M30" s="80" t="s">
        <v>189</v>
      </c>
      <c r="N30" s="80" t="s">
        <v>189</v>
      </c>
      <c r="O30" s="80" t="s">
        <v>189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39"/>
      <c r="C31" s="39"/>
      <c r="D31" s="74"/>
      <c r="E31" s="74"/>
      <c r="F31" s="74"/>
      <c r="G31" s="74"/>
      <c r="H31" s="74"/>
      <c r="I31" s="74"/>
      <c r="J31" s="74"/>
      <c r="K31" s="74"/>
      <c r="L31" s="74"/>
      <c r="M31" s="89"/>
      <c r="N31" s="89"/>
      <c r="O31" s="8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39"/>
      <c r="C32" s="39"/>
      <c r="D32" s="74"/>
      <c r="E32" s="74"/>
      <c r="F32" s="74"/>
      <c r="G32" s="74"/>
      <c r="H32" s="74"/>
      <c r="I32" s="74"/>
      <c r="J32" s="74"/>
      <c r="K32" s="74"/>
      <c r="L32" s="74"/>
      <c r="M32" s="89"/>
      <c r="N32" s="89"/>
      <c r="O32" s="8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39"/>
      <c r="C33" s="39"/>
      <c r="D33" s="74"/>
      <c r="E33" s="74"/>
      <c r="F33" s="74"/>
      <c r="G33" s="74"/>
      <c r="H33" s="74"/>
      <c r="I33" s="74"/>
      <c r="J33" s="74"/>
      <c r="K33" s="74"/>
      <c r="L33" s="74"/>
      <c r="M33" s="89"/>
      <c r="N33" s="89"/>
      <c r="O33" s="8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39"/>
      <c r="C34" s="39"/>
      <c r="D34" s="74"/>
      <c r="E34" s="74"/>
      <c r="F34" s="74"/>
      <c r="G34" s="74"/>
      <c r="H34" s="74"/>
      <c r="I34" s="74"/>
      <c r="J34" s="74"/>
      <c r="K34" s="74"/>
      <c r="L34" s="74"/>
      <c r="M34" s="89"/>
      <c r="N34" s="89"/>
      <c r="O34" s="8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90"/>
      <c r="C35" s="91"/>
      <c r="D35" s="91"/>
      <c r="E35" s="91"/>
      <c r="F35" s="92"/>
      <c r="G35" s="93"/>
      <c r="H35" s="94"/>
      <c r="I35" s="92"/>
      <c r="J35" s="92"/>
      <c r="K35" s="94"/>
      <c r="L35" s="95"/>
      <c r="M35" s="92"/>
      <c r="N35" s="92"/>
      <c r="O35" s="92"/>
      <c r="P35" s="96"/>
      <c r="Q35" s="97"/>
      <c r="R35" s="97"/>
      <c r="S35" s="97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87" t="s">
        <v>174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98"/>
      <c r="N36" s="98"/>
      <c r="O36" s="9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87" t="s">
        <v>175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98"/>
      <c r="N37" s="98"/>
      <c r="O37" s="9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39" t="str">
        <f>B9</f>
        <v>Trent Limited</v>
      </c>
      <c r="C39" s="39"/>
      <c r="D39" s="74"/>
      <c r="E39" s="74"/>
      <c r="F39" s="74"/>
      <c r="G39" s="74"/>
      <c r="H39" s="74"/>
      <c r="I39" s="74"/>
      <c r="J39" s="74"/>
      <c r="K39" s="74"/>
      <c r="L39" s="74"/>
      <c r="M39" s="89"/>
      <c r="N39" s="89"/>
      <c r="O39" s="89"/>
      <c r="P39" s="96"/>
      <c r="Q39" s="97"/>
      <c r="R39" s="97"/>
      <c r="S39" s="97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87" t="s">
        <v>190</v>
      </c>
      <c r="C41" s="88" t="s">
        <v>191</v>
      </c>
      <c r="D41" s="88" t="s">
        <v>182</v>
      </c>
      <c r="E41" s="88" t="s">
        <v>192</v>
      </c>
      <c r="F41" s="88" t="s">
        <v>101</v>
      </c>
      <c r="G41" s="88" t="s">
        <v>180</v>
      </c>
      <c r="H41" s="88" t="s">
        <v>193</v>
      </c>
      <c r="I41" s="91"/>
      <c r="J41" s="91"/>
      <c r="K41" s="91"/>
      <c r="L41" s="91"/>
      <c r="M41" s="91"/>
      <c r="N41" s="91"/>
      <c r="O41" s="91"/>
      <c r="P41" s="91"/>
      <c r="Q41" s="9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39"/>
      <c r="C42" s="89"/>
      <c r="D42" s="74"/>
      <c r="E42" s="74"/>
      <c r="F42" s="74"/>
      <c r="G42" s="74"/>
      <c r="H42" s="74"/>
      <c r="I42" s="91"/>
      <c r="J42" s="91"/>
      <c r="K42" s="91"/>
      <c r="L42" s="91"/>
      <c r="M42" s="91"/>
      <c r="N42" s="91"/>
      <c r="O42" s="91"/>
      <c r="P42" s="91"/>
      <c r="Q42" s="9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39"/>
      <c r="C43" s="89"/>
      <c r="D43" s="74"/>
      <c r="E43" s="74"/>
      <c r="F43" s="74"/>
      <c r="G43" s="74"/>
      <c r="H43" s="74"/>
      <c r="I43" s="91"/>
      <c r="J43" s="91"/>
      <c r="K43" s="91"/>
      <c r="L43" s="91"/>
      <c r="M43" s="91"/>
      <c r="N43" s="91"/>
      <c r="O43" s="91"/>
      <c r="P43" s="91"/>
      <c r="Q43" s="9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39"/>
      <c r="C44" s="89"/>
      <c r="D44" s="74"/>
      <c r="E44" s="74"/>
      <c r="F44" s="74"/>
      <c r="G44" s="74"/>
      <c r="H44" s="74"/>
      <c r="I44" s="91"/>
      <c r="J44" s="91"/>
      <c r="K44" s="91"/>
      <c r="L44" s="91"/>
      <c r="M44" s="91"/>
      <c r="N44" s="91"/>
      <c r="O44" s="91"/>
      <c r="P44" s="91"/>
      <c r="Q44" s="9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28:I28"/>
    <mergeCell ref="J28:L28"/>
    <mergeCell ref="M28:O28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DCF Model</vt:lpstr>
      <vt:lpstr>COMPS </vt:lpstr>
      <vt:lpstr>Data Sheet</vt:lpstr>
      <vt:lpstr>Comps</vt:lpstr>
      <vt:lpstr>Taper_rate</vt:lpstr>
      <vt:lpstr>Tax_rate</vt:lpstr>
      <vt:lpstr>Tpaer_rate</vt:lpstr>
      <vt:lpstr>'Data Sheet'!UPDATE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Sharma</dc:creator>
  <cp:lastModifiedBy>sheetal rawat</cp:lastModifiedBy>
  <dcterms:created xsi:type="dcterms:W3CDTF">2025-07-19T10:28:27Z</dcterms:created>
  <dcterms:modified xsi:type="dcterms:W3CDTF">2026-07-02T08:30:31Z</dcterms:modified>
</cp:coreProperties>
</file>